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mc:AlternateContent xmlns:mc="http://schemas.openxmlformats.org/markup-compatibility/2006">
    <mc:Choice Requires="x15">
      <x15ac:absPath xmlns:x15ac="http://schemas.microsoft.com/office/spreadsheetml/2010/11/ac" url="C:\Users\Lenovo\JupiterProjek\Modul3\Latihan\day4\"/>
    </mc:Choice>
  </mc:AlternateContent>
  <xr:revisionPtr revIDLastSave="0" documentId="13_ncr:1_{5CE9F79F-F766-4874-A0D2-E2556989AAC3}" xr6:coauthVersionLast="47" xr6:coauthVersionMax="47" xr10:uidLastSave="{00000000-0000-0000-0000-000000000000}"/>
  <bookViews>
    <workbookView xWindow="-110" yWindow="-110" windowWidth="19420" windowHeight="10300" xr2:uid="{00000000-000D-0000-FFFF-FFFF00000000}"/>
  </bookViews>
  <sheets>
    <sheet name="Dashboard" sheetId="2" r:id="rId1"/>
    <sheet name="Pivo Tables" sheetId="4" r:id="rId2"/>
    <sheet name="Data" sheetId="3" r:id="rId3"/>
  </sheets>
  <definedNames>
    <definedName name="_xlchart.v1.0" hidden="1">'Pivo Tables'!$J$11:$J$14</definedName>
    <definedName name="_xlchart.v1.1" hidden="1">'Pivo Tables'!$K$11:$K$14</definedName>
    <definedName name="Slicer_Job_Title">#N/A</definedName>
    <definedName name="Slicer_Month">#N/A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8" roundtripDataChecksum="QbVAWm+mo7mE9ap/V13jFVQLB6GXvQdkvx5/BPtkDgQ="/>
    </ext>
  </extLst>
</workbook>
</file>

<file path=xl/calcChain.xml><?xml version="1.0" encoding="utf-8"?>
<calcChain xmlns="http://schemas.openxmlformats.org/spreadsheetml/2006/main">
  <c r="K14" i="4" l="1"/>
  <c r="K13" i="4"/>
  <c r="K12" i="4"/>
  <c r="K11" i="4"/>
  <c r="E10" i="4"/>
  <c r="E9" i="4"/>
  <c r="E5" i="4"/>
  <c r="E6" i="4"/>
  <c r="E4" i="4"/>
</calcChain>
</file>

<file path=xl/sharedStrings.xml><?xml version="1.0" encoding="utf-8"?>
<sst xmlns="http://schemas.openxmlformats.org/spreadsheetml/2006/main" count="140" uniqueCount="71">
  <si>
    <t>Month</t>
  </si>
  <si>
    <t>Year</t>
  </si>
  <si>
    <t>Department</t>
  </si>
  <si>
    <t>Job Title</t>
  </si>
  <si>
    <t>Total Employees</t>
  </si>
  <si>
    <t>Salary</t>
  </si>
  <si>
    <t>Tenure (Years)</t>
  </si>
  <si>
    <t>Job Satisfaction %</t>
  </si>
  <si>
    <t>Job Unsatisfaction %</t>
  </si>
  <si>
    <t>Apr-22</t>
  </si>
  <si>
    <t>Apple</t>
  </si>
  <si>
    <t>Analyst</t>
  </si>
  <si>
    <t>Apr-23</t>
  </si>
  <si>
    <t>Pinterest</t>
  </si>
  <si>
    <t>Technical Support</t>
  </si>
  <si>
    <t>Aug-22</t>
  </si>
  <si>
    <t>Zoom</t>
  </si>
  <si>
    <t>Manager</t>
  </si>
  <si>
    <t>Aug-23</t>
  </si>
  <si>
    <t>Tiktok</t>
  </si>
  <si>
    <t>Security</t>
  </si>
  <si>
    <t>Microsoft</t>
  </si>
  <si>
    <t>Amazon</t>
  </si>
  <si>
    <t>Dec-22</t>
  </si>
  <si>
    <t>Reddit</t>
  </si>
  <si>
    <t>Tencent</t>
  </si>
  <si>
    <t>Feb-23</t>
  </si>
  <si>
    <t>LinkedIn</t>
  </si>
  <si>
    <t>Meta</t>
  </si>
  <si>
    <t>Cisco</t>
  </si>
  <si>
    <t>Oracle</t>
  </si>
  <si>
    <t>Jan-23</t>
  </si>
  <si>
    <t>Samsung</t>
  </si>
  <si>
    <t>Broadcom</t>
  </si>
  <si>
    <t>SAP</t>
  </si>
  <si>
    <t>Salesforce</t>
  </si>
  <si>
    <t>Jul-22</t>
  </si>
  <si>
    <t>Facebook</t>
  </si>
  <si>
    <t>Adobe</t>
  </si>
  <si>
    <t>Intuit</t>
  </si>
  <si>
    <t>Jul-23</t>
  </si>
  <si>
    <t>Alphabet</t>
  </si>
  <si>
    <t>Jun-22</t>
  </si>
  <si>
    <t>Instagram</t>
  </si>
  <si>
    <t>Shopify</t>
  </si>
  <si>
    <t>Synopsis</t>
  </si>
  <si>
    <t>Jun-23</t>
  </si>
  <si>
    <t>Snapchat</t>
  </si>
  <si>
    <t>Globe</t>
  </si>
  <si>
    <t>Mar-23</t>
  </si>
  <si>
    <t>Jobstreet</t>
  </si>
  <si>
    <t>May-22</t>
  </si>
  <si>
    <t>Messenger</t>
  </si>
  <si>
    <t>May-23</t>
  </si>
  <si>
    <t>Youtube</t>
  </si>
  <si>
    <t>Nov-22</t>
  </si>
  <si>
    <t>Twitter</t>
  </si>
  <si>
    <t>Oct-22</t>
  </si>
  <si>
    <t>Threads</t>
  </si>
  <si>
    <t>Sep-22</t>
  </si>
  <si>
    <t>Whatsapp</t>
  </si>
  <si>
    <t>Sep-23</t>
  </si>
  <si>
    <t>Viber</t>
  </si>
  <si>
    <t>Sum of Total Employees</t>
  </si>
  <si>
    <t>Values</t>
  </si>
  <si>
    <t>Average of Salary</t>
  </si>
  <si>
    <t>Average of Tenure (Years)</t>
  </si>
  <si>
    <t>Average of Job Satisfaction %</t>
  </si>
  <si>
    <t>Average of Job Unsatisfaction %</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</si>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</sst>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 #,##0_-;\-* #,##0_-;_-* &quot;-&quot;??_-;_-@"/>
    <numFmt numFmtId="165" formatCode="_-* #,##0.0_-;\-* #,##0.0_-;_-* &quot;-&quot;??_-;_-@_-"/>
    <numFmt numFmtId="166" formatCode="_-* #,##0_-;\-* #,##0_-;_-* &quot;-&quot;??_-;_-@_-"/>
    <numFmt numFmtId="167" formatCode="\$* #,##0_-;\-* #,##0_-;_-* &quot;-&quot;??_-;_-@_-"/>
  </numFmts>
  <fonts count="7" x14ac:knownFonts="1">
    <font>
      <sz val="11"/>
      <color theme="1"/>
      <name val="Calibri"/>
      <scheme val="minor"/>
    </font>
    <font>
      <sz val="11"/>
      <color theme="1"/>
      <name val="Calibri"/>
    </font>
    <font>
      <b/>
      <sz val="12"/>
      <color theme="1"/>
      <name val="Calibri"/>
    </font>
    <font>
      <sz val="12"/>
      <color theme="1"/>
      <name val="Calibri"/>
    </font>
    <font>
      <sz val="11"/>
      <color theme="1"/>
      <name val="Calibri"/>
      <scheme val="minor"/>
    </font>
    <font>
      <b/>
      <sz val="11"/>
      <color theme="0"/>
      <name val="Segoe UI"/>
      <family val="2"/>
    </font>
    <font>
      <sz val="11"/>
      <color theme="0"/>
      <name val="Calibri"/>
      <family val="2"/>
    </font>
  </fonts>
  <fills count="3">
    <fill>
      <patternFill patternType="none"/>
    </fill>
    <fill>
      <patternFill patternType="gray125"/>
    </fill>
    <fill>
      <patternFill patternType="solid">
        <fgColor rgb="FFFFFF00"/>
        <bgColor rgb="FFFFFF00"/>
      </patternFill>
    </fill>
  </fills>
  <borders count="12">
    <border>
      <left/>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ABABAB"/>
      </left>
      <right/>
      <top style="thin">
        <color rgb="FFABABAB"/>
      </top>
      <bottom/>
      <diagonal/>
    </border>
    <border>
      <left style="thin">
        <color rgb="FFABABAB"/>
      </left>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style="thin">
        <color rgb="FFABABAB"/>
      </top>
      <bottom style="thin">
        <color rgb="FFABABAB"/>
      </bottom>
      <diagonal/>
    </border>
    <border>
      <left style="thin">
        <color rgb="FFABABAB"/>
      </left>
      <right/>
      <top style="thin">
        <color rgb="FFABABAB"/>
      </top>
      <bottom style="thin">
        <color rgb="FFABABAB"/>
      </bottom>
      <diagonal/>
    </border>
    <border>
      <left style="thin">
        <color rgb="FFABABAB"/>
      </left>
      <right style="thin">
        <color rgb="FFABABAB"/>
      </right>
      <top style="thin">
        <color indexed="65"/>
      </top>
      <bottom/>
      <diagonal/>
    </border>
    <border>
      <left style="thin">
        <color rgb="FFABABAB"/>
      </left>
      <right style="thin">
        <color rgb="FFABABAB"/>
      </right>
      <top style="thin">
        <color indexed="65"/>
      </top>
      <bottom style="thin">
        <color rgb="FFABABAB"/>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4" fillId="0" borderId="0" applyFont="0" applyFill="0" applyBorder="0" applyAlignment="0" applyProtection="0"/>
  </cellStyleXfs>
  <cellXfs count="33">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3" fillId="0" borderId="2" xfId="0" applyFont="1" applyBorder="1"/>
    <xf numFmtId="164" fontId="3" fillId="0" borderId="2" xfId="0" applyNumberFormat="1" applyFont="1" applyBorder="1"/>
    <xf numFmtId="1" fontId="3" fillId="0" borderId="2" xfId="0" applyNumberFormat="1" applyFont="1" applyBorder="1"/>
    <xf numFmtId="9" fontId="3" fillId="0" borderId="2" xfId="0" applyNumberFormat="1" applyFont="1" applyBorder="1"/>
    <xf numFmtId="0" fontId="1" fillId="0" borderId="0" xfId="0" applyFont="1"/>
    <xf numFmtId="0" fontId="5" fillId="0" borderId="0" xfId="0" applyFont="1"/>
    <xf numFmtId="0" fontId="0" fillId="0" borderId="6" xfId="0" applyBorder="1"/>
    <xf numFmtId="0" fontId="0" fillId="0" borderId="3" xfId="0" pivotButton="1" applyBorder="1"/>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165" fontId="0" fillId="0" borderId="6" xfId="0" applyNumberFormat="1" applyBorder="1"/>
    <xf numFmtId="165" fontId="0" fillId="0" borderId="9" xfId="0" applyNumberFormat="1" applyBorder="1"/>
    <xf numFmtId="166" fontId="0" fillId="0" borderId="6" xfId="0" applyNumberFormat="1" applyBorder="1"/>
    <xf numFmtId="166" fontId="0" fillId="0" borderId="9" xfId="0" applyNumberFormat="1" applyBorder="1"/>
    <xf numFmtId="166" fontId="0" fillId="0" borderId="10" xfId="0" applyNumberFormat="1" applyBorder="1"/>
    <xf numFmtId="165" fontId="0" fillId="0" borderId="7" xfId="0" applyNumberFormat="1" applyBorder="1"/>
    <xf numFmtId="9" fontId="0" fillId="0" borderId="6" xfId="0" applyNumberFormat="1" applyBorder="1"/>
    <xf numFmtId="9" fontId="0" fillId="0" borderId="10" xfId="0" applyNumberFormat="1" applyBorder="1"/>
    <xf numFmtId="0" fontId="0" fillId="0" borderId="8" xfId="0" applyBorder="1" applyAlignment="1">
      <alignment horizontal="left"/>
    </xf>
    <xf numFmtId="166" fontId="0" fillId="0" borderId="7" xfId="0" applyNumberFormat="1" applyBorder="1"/>
    <xf numFmtId="165" fontId="0" fillId="0" borderId="0" xfId="0" applyNumberFormat="1"/>
    <xf numFmtId="9" fontId="0" fillId="0" borderId="0" xfId="0" applyNumberFormat="1"/>
    <xf numFmtId="0" fontId="0" fillId="0" borderId="11" xfId="0" applyBorder="1" applyAlignment="1">
      <alignment horizontal="left"/>
    </xf>
    <xf numFmtId="166" fontId="0" fillId="0" borderId="11" xfId="1" applyNumberFormat="1" applyFont="1" applyBorder="1" applyAlignment="1">
      <alignment horizontal="left" vertical="top"/>
    </xf>
    <xf numFmtId="167" fontId="0" fillId="0" borderId="11" xfId="1" applyNumberFormat="1" applyFont="1" applyBorder="1" applyAlignment="1">
      <alignment horizontal="left" vertical="top"/>
    </xf>
    <xf numFmtId="165" fontId="0" fillId="0" borderId="11" xfId="1" applyNumberFormat="1" applyFont="1" applyBorder="1" applyAlignment="1">
      <alignment horizontal="left" vertical="top"/>
    </xf>
    <xf numFmtId="9" fontId="0" fillId="0" borderId="11" xfId="0" applyNumberFormat="1" applyBorder="1"/>
    <xf numFmtId="0" fontId="0" fillId="0" borderId="11" xfId="0" applyBorder="1"/>
    <xf numFmtId="0" fontId="6" fillId="0" borderId="0" xfId="0" applyFont="1"/>
  </cellXfs>
  <cellStyles count="2">
    <cellStyle name="Comma" xfId="1" builtinId="3"/>
    <cellStyle name="Normal" xfId="0" builtinId="0"/>
  </cellStyles>
  <dxfs count="12">
    <dxf>
      <font>
        <color rgb="FF9C6500"/>
      </font>
      <fill>
        <patternFill patternType="solid">
          <fgColor rgb="FFFFEB9C"/>
          <bgColor rgb="FFFFEB9C"/>
        </patternFill>
      </fill>
    </dxf>
    <dxf>
      <numFmt numFmtId="166" formatCode="_-* #,##0_-;\-* #,##0_-;_-* &quot;-&quot;??_-;_-@_-"/>
    </dxf>
    <dxf>
      <numFmt numFmtId="166" formatCode="_-* #,##0_-;\-* #,##0_-;_-* &quot;-&quot;??_-;_-@_-"/>
    </dxf>
    <dxf>
      <numFmt numFmtId="166" formatCode="_-* #,##0_-;\-* #,##0_-;_-* &quot;-&quot;??_-;_-@_-"/>
    </dxf>
    <dxf>
      <numFmt numFmtId="166" formatCode="_-* #,##0_-;\-* #,##0_-;_-* &quot;-&quot;??_-;_-@_-"/>
    </dxf>
    <dxf>
      <numFmt numFmtId="166" formatCode="_-* #,##0_-;\-* #,##0_-;_-* &quot;-&quot;??_-;_-@_-"/>
    </dxf>
    <dxf>
      <numFmt numFmtId="165" formatCode="_-* #,##0.0_-;\-* #,##0.0_-;_-* &quot;-&quot;??_-;_-@_-"/>
    </dxf>
    <dxf>
      <numFmt numFmtId="13" formatCode="0%"/>
    </dxf>
    <dxf>
      <numFmt numFmtId="13" formatCode="0%"/>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1">
    <tableStyle name="Data-style" pivot="0" count="3" xr9:uid="{00000000-0011-0000-FFFF-FFFF00000000}">
      <tableStyleElement type="headerRow" dxfId="11"/>
      <tableStyleElement type="firstRowStripe" dxfId="10"/>
      <tableStyleElement type="secondRowStripe"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 Tables!PivotTable3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bg1">
              <a:lumMod val="7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w="19050">
            <a:solidFill>
              <a:schemeClr val="lt1"/>
            </a:solidFill>
          </a:ln>
          <a:effectLst/>
        </c:spPr>
        <c:dLbl>
          <c:idx val="0"/>
          <c:layout>
            <c:manualLayout>
              <c:x val="-0.16356894859078083"/>
              <c:y val="-8.5273634178849381E-2"/>
            </c:manualLayout>
          </c:layout>
          <c:spPr>
            <a:noFill/>
            <a:ln>
              <a:noFill/>
            </a:ln>
            <a:effectLst/>
          </c:spPr>
          <c:txPr>
            <a:bodyPr rot="0" spcFirstLastPara="1" vertOverflow="ellipsis" vert="horz" wrap="square" lIns="38100" tIns="19050" rIns="38100" bIns="19050" anchor="ctr" anchorCtr="1">
              <a:spAutoFit/>
            </a:bodyPr>
            <a:lstStyle/>
            <a:p>
              <a:pPr>
                <a:defRPr sz="60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66005962533088058"/>
                  <c:h val="0.29089195475528862"/>
                </c:manualLayout>
              </c15:layout>
            </c:ext>
          </c:extLst>
        </c:dLbl>
      </c:pivotFmt>
      <c:pivotFmt>
        <c:idx val="6"/>
        <c:spPr>
          <a:solidFill>
            <a:schemeClr val="bg1">
              <a:lumMod val="7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58732412546793"/>
          <c:y val="0.19409681978994076"/>
          <c:w val="0.7788253517490642"/>
          <c:h val="0.62585853500665256"/>
        </c:manualLayout>
      </c:layout>
      <c:doughnutChart>
        <c:varyColors val="1"/>
        <c:ser>
          <c:idx val="0"/>
          <c:order val="0"/>
          <c:tx>
            <c:strRef>
              <c:f>'Pivo Tables'!$B$8</c:f>
              <c:strCache>
                <c:ptCount val="1"/>
                <c:pt idx="0">
                  <c:v>Total</c:v>
                </c:pt>
              </c:strCache>
            </c:strRef>
          </c:tx>
          <c:spPr>
            <a:solidFill>
              <a:schemeClr val="bg1">
                <a:lumMod val="75000"/>
              </a:schemeClr>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613D-41ED-B94C-711C753499A1}"/>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613D-41ED-B94C-711C753499A1}"/>
              </c:ext>
            </c:extLst>
          </c:dPt>
          <c:dLbls>
            <c:dLbl>
              <c:idx val="0"/>
              <c:layout>
                <c:manualLayout>
                  <c:x val="-0.16356894859078083"/>
                  <c:y val="-8.5273634178849381E-2"/>
                </c:manualLayout>
              </c:layout>
              <c:spPr>
                <a:noFill/>
                <a:ln>
                  <a:noFill/>
                </a:ln>
                <a:effectLst/>
              </c:spPr>
              <c:txPr>
                <a:bodyPr rot="0" spcFirstLastPara="1" vertOverflow="ellipsis" vert="horz" wrap="square" lIns="38100" tIns="19050" rIns="38100" bIns="19050" anchor="ctr" anchorCtr="1">
                  <a:spAutoFit/>
                </a:bodyPr>
                <a:lstStyle/>
                <a:p>
                  <a:pPr>
                    <a:defRPr sz="60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66005962533088058"/>
                      <c:h val="0.29089195475528862"/>
                    </c:manualLayout>
                  </c15:layout>
                </c:ext>
                <c:ext xmlns:c16="http://schemas.microsoft.com/office/drawing/2014/chart" uri="{C3380CC4-5D6E-409C-BE32-E72D297353CC}">
                  <c16:uniqueId val="{00000001-613D-41ED-B94C-711C753499A1}"/>
                </c:ext>
              </c:extLst>
            </c:dLbl>
            <c:dLbl>
              <c:idx val="1"/>
              <c:delete val="1"/>
              <c:extLst>
                <c:ext xmlns:c15="http://schemas.microsoft.com/office/drawing/2012/chart" uri="{CE6537A1-D6FC-4f65-9D91-7224C49458BB}"/>
                <c:ext xmlns:c16="http://schemas.microsoft.com/office/drawing/2014/chart" uri="{C3380CC4-5D6E-409C-BE32-E72D297353CC}">
                  <c16:uniqueId val="{00000003-613D-41ED-B94C-711C75349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 Tables'!$A$9:$A$10</c:f>
              <c:strCache>
                <c:ptCount val="2"/>
                <c:pt idx="0">
                  <c:v>Average of Job Satisfaction %</c:v>
                </c:pt>
                <c:pt idx="1">
                  <c:v>Average of Job Unsatisfaction %</c:v>
                </c:pt>
              </c:strCache>
            </c:strRef>
          </c:cat>
          <c:val>
            <c:numRef>
              <c:f>'Pivo Tables'!$B$9:$B$10</c:f>
              <c:numCache>
                <c:formatCode>0%</c:formatCode>
                <c:ptCount val="2"/>
                <c:pt idx="0">
                  <c:v>0.46763252745045158</c:v>
                </c:pt>
                <c:pt idx="1">
                  <c:v>0.53236747254954853</c:v>
                </c:pt>
              </c:numCache>
            </c:numRef>
          </c:val>
          <c:extLst>
            <c:ext xmlns:c16="http://schemas.microsoft.com/office/drawing/2014/chart" uri="{C3380CC4-5D6E-409C-BE32-E72D297353CC}">
              <c16:uniqueId val="{00000004-613D-41ED-B94C-711C753499A1}"/>
            </c:ext>
          </c:extLst>
        </c:ser>
        <c:dLbls>
          <c:showLegendKey val="0"/>
          <c:showVal val="1"/>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 Tables!PivotTable4</c:name>
    <c:fmtId val="3"/>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 Tables'!$H$3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 Tables'!$G$4:$G$7</c:f>
              <c:strCache>
                <c:ptCount val="3"/>
                <c:pt idx="0">
                  <c:v>Aug-23</c:v>
                </c:pt>
                <c:pt idx="1">
                  <c:v>Feb-23</c:v>
                </c:pt>
                <c:pt idx="2">
                  <c:v>Jun-23</c:v>
                </c:pt>
              </c:strCache>
            </c:strRef>
          </c:cat>
          <c:val>
            <c:numRef>
              <c:f>'Pivo Tables'!$H$4:$H$7</c:f>
              <c:numCache>
                <c:formatCode>_-* #,##0.0_-;\-* #,##0.0_-;_-* "-"??_-;_-@_-</c:formatCode>
                <c:ptCount val="3"/>
                <c:pt idx="0">
                  <c:v>11</c:v>
                </c:pt>
                <c:pt idx="1">
                  <c:v>15</c:v>
                </c:pt>
                <c:pt idx="2">
                  <c:v>15</c:v>
                </c:pt>
              </c:numCache>
            </c:numRef>
          </c:val>
          <c:smooth val="1"/>
          <c:extLst>
            <c:ext xmlns:c16="http://schemas.microsoft.com/office/drawing/2014/chart" uri="{C3380CC4-5D6E-409C-BE32-E72D297353CC}">
              <c16:uniqueId val="{00000000-3F9A-425D-BBE0-0A9D2846DDA8}"/>
            </c:ext>
          </c:extLst>
        </c:ser>
        <c:dLbls>
          <c:dLblPos val="t"/>
          <c:showLegendKey val="0"/>
          <c:showVal val="1"/>
          <c:showCatName val="0"/>
          <c:showSerName val="0"/>
          <c:showPercent val="0"/>
          <c:showBubbleSize val="0"/>
        </c:dLbls>
        <c:marker val="1"/>
        <c:smooth val="0"/>
        <c:axId val="1204361808"/>
        <c:axId val="1204358928"/>
      </c:lineChart>
      <c:catAx>
        <c:axId val="12043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358928"/>
        <c:crosses val="autoZero"/>
        <c:auto val="1"/>
        <c:lblAlgn val="ctr"/>
        <c:lblOffset val="100"/>
        <c:noMultiLvlLbl val="0"/>
      </c:catAx>
      <c:valAx>
        <c:axId val="1204358928"/>
        <c:scaling>
          <c:orientation val="minMax"/>
        </c:scaling>
        <c:delete val="0"/>
        <c:axPos val="l"/>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361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 Tables!PivotTable6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 Tables'!$N$3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 Tables'!$M$4:$M$7</c:f>
              <c:strCache>
                <c:ptCount val="3"/>
                <c:pt idx="0">
                  <c:v>Globe</c:v>
                </c:pt>
                <c:pt idx="1">
                  <c:v>LinkedIn</c:v>
                </c:pt>
                <c:pt idx="2">
                  <c:v>Microsoft</c:v>
                </c:pt>
              </c:strCache>
            </c:strRef>
          </c:cat>
          <c:val>
            <c:numRef>
              <c:f>'Pivo Tables'!$N$4:$N$7</c:f>
              <c:numCache>
                <c:formatCode>_-* #,##0_-;\-* #,##0_-;_-* "-"??_-;_-@_-</c:formatCode>
                <c:ptCount val="3"/>
                <c:pt idx="0">
                  <c:v>15</c:v>
                </c:pt>
                <c:pt idx="1">
                  <c:v>15</c:v>
                </c:pt>
                <c:pt idx="2">
                  <c:v>11</c:v>
                </c:pt>
              </c:numCache>
            </c:numRef>
          </c:val>
          <c:extLst>
            <c:ext xmlns:c16="http://schemas.microsoft.com/office/drawing/2014/chart" uri="{C3380CC4-5D6E-409C-BE32-E72D297353CC}">
              <c16:uniqueId val="{00000000-368D-4EDE-854F-3D3BEE89E225}"/>
            </c:ext>
          </c:extLst>
        </c:ser>
        <c:dLbls>
          <c:dLblPos val="outEnd"/>
          <c:showLegendKey val="0"/>
          <c:showVal val="1"/>
          <c:showCatName val="0"/>
          <c:showSerName val="0"/>
          <c:showPercent val="0"/>
          <c:showBubbleSize val="0"/>
        </c:dLbls>
        <c:gapWidth val="45"/>
        <c:overlap val="-27"/>
        <c:axId val="1204360848"/>
        <c:axId val="1204357008"/>
      </c:barChart>
      <c:catAx>
        <c:axId val="120436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357008"/>
        <c:crosses val="autoZero"/>
        <c:auto val="1"/>
        <c:lblAlgn val="ctr"/>
        <c:lblOffset val="100"/>
        <c:noMultiLvlLbl val="0"/>
      </c:catAx>
      <c:valAx>
        <c:axId val="1204357008"/>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36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BD878E08-FE21-4D06-8868-0CDE39279D14}">
          <cx:dataLabels pos="inEnd">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533401</xdr:colOff>
      <xdr:row>3</xdr:row>
      <xdr:rowOff>48492</xdr:rowOff>
    </xdr:from>
    <xdr:to>
      <xdr:col>22</xdr:col>
      <xdr:colOff>531091</xdr:colOff>
      <xdr:row>10</xdr:row>
      <xdr:rowOff>92363</xdr:rowOff>
    </xdr:to>
    <xdr:sp macro="" textlink="">
      <xdr:nvSpPr>
        <xdr:cNvPr id="80" name="Rectangle 79">
          <a:extLst>
            <a:ext uri="{FF2B5EF4-FFF2-40B4-BE49-F238E27FC236}">
              <a16:creationId xmlns:a16="http://schemas.microsoft.com/office/drawing/2014/main" id="{8EF3D39A-E58F-4B9A-A004-DE06FF33EB06}"/>
            </a:ext>
          </a:extLst>
        </xdr:cNvPr>
        <xdr:cNvSpPr/>
      </xdr:nvSpPr>
      <xdr:spPr>
        <a:xfrm>
          <a:off x="3073401" y="568037"/>
          <a:ext cx="11427690" cy="1256144"/>
        </a:xfrm>
        <a:prstGeom prst="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4</xdr:col>
      <xdr:colOff>519546</xdr:colOff>
      <xdr:row>10</xdr:row>
      <xdr:rowOff>138546</xdr:rowOff>
    </xdr:from>
    <xdr:to>
      <xdr:col>22</xdr:col>
      <xdr:colOff>565728</xdr:colOff>
      <xdr:row>35</xdr:row>
      <xdr:rowOff>57727</xdr:rowOff>
    </xdr:to>
    <xdr:sp macro="" textlink="">
      <xdr:nvSpPr>
        <xdr:cNvPr id="74" name="Rectangle 73">
          <a:extLst>
            <a:ext uri="{FF2B5EF4-FFF2-40B4-BE49-F238E27FC236}">
              <a16:creationId xmlns:a16="http://schemas.microsoft.com/office/drawing/2014/main" id="{A7801644-70BB-1498-E0CD-63395AA945FC}"/>
            </a:ext>
          </a:extLst>
        </xdr:cNvPr>
        <xdr:cNvSpPr/>
      </xdr:nvSpPr>
      <xdr:spPr>
        <a:xfrm>
          <a:off x="3059546" y="1870364"/>
          <a:ext cx="11476182" cy="4248727"/>
        </a:xfrm>
        <a:prstGeom prst="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0</xdr:col>
      <xdr:colOff>40053</xdr:colOff>
      <xdr:row>3</xdr:row>
      <xdr:rowOff>42496</xdr:rowOff>
    </xdr:from>
    <xdr:to>
      <xdr:col>4</xdr:col>
      <xdr:colOff>468922</xdr:colOff>
      <xdr:row>8</xdr:row>
      <xdr:rowOff>58616</xdr:rowOff>
    </xdr:to>
    <xdr:sp macro="" textlink="">
      <xdr:nvSpPr>
        <xdr:cNvPr id="3" name="Rectangle 2">
          <a:extLst>
            <a:ext uri="{FF2B5EF4-FFF2-40B4-BE49-F238E27FC236}">
              <a16:creationId xmlns:a16="http://schemas.microsoft.com/office/drawing/2014/main" id="{DD8DF5F3-5313-4362-98F5-F7ACEBF3AAD2}"/>
            </a:ext>
          </a:extLst>
        </xdr:cNvPr>
        <xdr:cNvSpPr/>
      </xdr:nvSpPr>
      <xdr:spPr>
        <a:xfrm>
          <a:off x="40053" y="570034"/>
          <a:ext cx="2968869" cy="8953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b="1">
              <a:solidFill>
                <a:schemeClr val="bg1"/>
              </a:solidFill>
              <a:latin typeface="Segoe UI" panose="020B0502040204020203" pitchFamily="34" charset="0"/>
              <a:cs typeface="Segoe UI" panose="020B0502040204020203" pitchFamily="34" charset="0"/>
            </a:rPr>
            <a:t>BY</a:t>
          </a:r>
          <a:r>
            <a:rPr lang="en-ID" sz="1100" b="1" baseline="0">
              <a:solidFill>
                <a:schemeClr val="bg1"/>
              </a:solidFill>
              <a:latin typeface="Segoe UI" panose="020B0502040204020203" pitchFamily="34" charset="0"/>
              <a:cs typeface="Segoe UI" panose="020B0502040204020203" pitchFamily="34" charset="0"/>
            </a:rPr>
            <a:t> YEAR: </a:t>
          </a:r>
          <a:endParaRPr lang="en-ID"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41521</xdr:colOff>
      <xdr:row>8</xdr:row>
      <xdr:rowOff>111857</xdr:rowOff>
    </xdr:from>
    <xdr:to>
      <xdr:col>4</xdr:col>
      <xdr:colOff>473809</xdr:colOff>
      <xdr:row>24</xdr:row>
      <xdr:rowOff>68384</xdr:rowOff>
    </xdr:to>
    <xdr:sp macro="" textlink="">
      <xdr:nvSpPr>
        <xdr:cNvPr id="4" name="Rectangle 3">
          <a:extLst>
            <a:ext uri="{FF2B5EF4-FFF2-40B4-BE49-F238E27FC236}">
              <a16:creationId xmlns:a16="http://schemas.microsoft.com/office/drawing/2014/main" id="{A965E94F-7A16-490C-B1B7-E1AD330CF98A}"/>
            </a:ext>
          </a:extLst>
        </xdr:cNvPr>
        <xdr:cNvSpPr/>
      </xdr:nvSpPr>
      <xdr:spPr>
        <a:xfrm>
          <a:off x="41521" y="1518626"/>
          <a:ext cx="2972288" cy="277006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b="1">
              <a:solidFill>
                <a:schemeClr val="bg1"/>
              </a:solidFill>
              <a:latin typeface="Segoe UI" panose="020B0502040204020203" pitchFamily="34" charset="0"/>
              <a:cs typeface="Segoe UI" panose="020B0502040204020203" pitchFamily="34" charset="0"/>
            </a:rPr>
            <a:t>BY</a:t>
          </a:r>
          <a:r>
            <a:rPr lang="en-ID" sz="1100" b="1" baseline="0">
              <a:solidFill>
                <a:schemeClr val="bg1"/>
              </a:solidFill>
              <a:latin typeface="Segoe UI" panose="020B0502040204020203" pitchFamily="34" charset="0"/>
              <a:cs typeface="Segoe UI" panose="020B0502040204020203" pitchFamily="34" charset="0"/>
            </a:rPr>
            <a:t> MONTH:</a:t>
          </a:r>
          <a:endParaRPr lang="en-ID"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51288</xdr:colOff>
      <xdr:row>24</xdr:row>
      <xdr:rowOff>110392</xdr:rowOff>
    </xdr:from>
    <xdr:to>
      <xdr:col>4</xdr:col>
      <xdr:colOff>478692</xdr:colOff>
      <xdr:row>34</xdr:row>
      <xdr:rowOff>138545</xdr:rowOff>
    </xdr:to>
    <xdr:sp macro="" textlink="">
      <xdr:nvSpPr>
        <xdr:cNvPr id="5" name="Rectangle 4">
          <a:extLst>
            <a:ext uri="{FF2B5EF4-FFF2-40B4-BE49-F238E27FC236}">
              <a16:creationId xmlns:a16="http://schemas.microsoft.com/office/drawing/2014/main" id="{79F2F76D-C047-4B80-83E3-F9318F508943}"/>
            </a:ext>
          </a:extLst>
        </xdr:cNvPr>
        <xdr:cNvSpPr/>
      </xdr:nvSpPr>
      <xdr:spPr>
        <a:xfrm>
          <a:off x="51288" y="4266756"/>
          <a:ext cx="2967404" cy="175997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b="1">
              <a:solidFill>
                <a:schemeClr val="bg1"/>
              </a:solidFill>
              <a:latin typeface="Segoe UI" panose="020B0502040204020203" pitchFamily="34" charset="0"/>
              <a:cs typeface="Segoe UI" panose="020B0502040204020203" pitchFamily="34" charset="0"/>
            </a:rPr>
            <a:t>BY JOB TITLE :</a:t>
          </a:r>
        </a:p>
      </xdr:txBody>
    </xdr:sp>
    <xdr:clientData/>
  </xdr:twoCellAnchor>
  <xdr:twoCellAnchor>
    <xdr:from>
      <xdr:col>4</xdr:col>
      <xdr:colOff>524606</xdr:colOff>
      <xdr:row>0</xdr:row>
      <xdr:rowOff>29796</xdr:rowOff>
    </xdr:from>
    <xdr:to>
      <xdr:col>22</xdr:col>
      <xdr:colOff>531091</xdr:colOff>
      <xdr:row>2</xdr:row>
      <xdr:rowOff>165100</xdr:rowOff>
    </xdr:to>
    <xdr:sp macro="" textlink="">
      <xdr:nvSpPr>
        <xdr:cNvPr id="15" name="Rectangle 14">
          <a:extLst>
            <a:ext uri="{FF2B5EF4-FFF2-40B4-BE49-F238E27FC236}">
              <a16:creationId xmlns:a16="http://schemas.microsoft.com/office/drawing/2014/main" id="{391D1DE8-72C6-45D5-8F6A-ADBA7499922F}"/>
            </a:ext>
          </a:extLst>
        </xdr:cNvPr>
        <xdr:cNvSpPr/>
      </xdr:nvSpPr>
      <xdr:spPr>
        <a:xfrm>
          <a:off x="3064606" y="29796"/>
          <a:ext cx="11436485" cy="481668"/>
        </a:xfrm>
        <a:prstGeom prst="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2800" b="1">
              <a:solidFill>
                <a:schemeClr val="bg1"/>
              </a:solidFill>
            </a:rPr>
            <a:t>HR</a:t>
          </a:r>
          <a:r>
            <a:rPr lang="en-ID" sz="2800" b="1" baseline="0">
              <a:solidFill>
                <a:schemeClr val="bg1"/>
              </a:solidFill>
            </a:rPr>
            <a:t> ANALYTICS DASHBOARD</a:t>
          </a:r>
          <a:endParaRPr lang="en-ID" sz="2800" b="1">
            <a:solidFill>
              <a:schemeClr val="bg1"/>
            </a:solidFill>
          </a:endParaRPr>
        </a:p>
      </xdr:txBody>
    </xdr:sp>
    <xdr:clientData/>
  </xdr:twoCellAnchor>
  <xdr:twoCellAnchor>
    <xdr:from>
      <xdr:col>0</xdr:col>
      <xdr:colOff>50800</xdr:colOff>
      <xdr:row>0</xdr:row>
      <xdr:rowOff>38100</xdr:rowOff>
    </xdr:from>
    <xdr:to>
      <xdr:col>4</xdr:col>
      <xdr:colOff>469900</xdr:colOff>
      <xdr:row>2</xdr:row>
      <xdr:rowOff>158750</xdr:rowOff>
    </xdr:to>
    <xdr:sp macro="" textlink="">
      <xdr:nvSpPr>
        <xdr:cNvPr id="41" name="Rectangle: Diagonal Corners Rounded 40">
          <a:extLst>
            <a:ext uri="{FF2B5EF4-FFF2-40B4-BE49-F238E27FC236}">
              <a16:creationId xmlns:a16="http://schemas.microsoft.com/office/drawing/2014/main" id="{5FB21B4D-F867-544E-7A30-C2508542B7D7}"/>
            </a:ext>
          </a:extLst>
        </xdr:cNvPr>
        <xdr:cNvSpPr/>
      </xdr:nvSpPr>
      <xdr:spPr>
        <a:xfrm>
          <a:off x="50800" y="38100"/>
          <a:ext cx="2959100" cy="476250"/>
        </a:xfrm>
        <a:prstGeom prst="round2Diag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200" b="1">
              <a:solidFill>
                <a:schemeClr val="bg1"/>
              </a:solidFill>
              <a:latin typeface="Segoe UI" panose="020B0502040204020203" pitchFamily="34" charset="0"/>
              <a:cs typeface="Segoe UI" panose="020B0502040204020203" pitchFamily="34" charset="0"/>
            </a:rPr>
            <a:t>FILTER:</a:t>
          </a:r>
        </a:p>
      </xdr:txBody>
    </xdr:sp>
    <xdr:clientData/>
  </xdr:twoCellAnchor>
  <xdr:twoCellAnchor>
    <xdr:from>
      <xdr:col>4</xdr:col>
      <xdr:colOff>618124</xdr:colOff>
      <xdr:row>3</xdr:row>
      <xdr:rowOff>91566</xdr:rowOff>
    </xdr:from>
    <xdr:to>
      <xdr:col>5</xdr:col>
      <xdr:colOff>297551</xdr:colOff>
      <xdr:row>5</xdr:row>
      <xdr:rowOff>13780</xdr:rowOff>
    </xdr:to>
    <xdr:sp macro="" textlink="">
      <xdr:nvSpPr>
        <xdr:cNvPr id="42" name="Rectangle 41">
          <a:extLst>
            <a:ext uri="{FF2B5EF4-FFF2-40B4-BE49-F238E27FC236}">
              <a16:creationId xmlns:a16="http://schemas.microsoft.com/office/drawing/2014/main" id="{9CE1EC1A-4D55-45A6-91E9-C6F78BA592E4}"/>
            </a:ext>
          </a:extLst>
        </xdr:cNvPr>
        <xdr:cNvSpPr/>
      </xdr:nvSpPr>
      <xdr:spPr>
        <a:xfrm>
          <a:off x="3158124" y="611111"/>
          <a:ext cx="314427" cy="268578"/>
        </a:xfrm>
        <a:prstGeom prst="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5</xdr:col>
      <xdr:colOff>83126</xdr:colOff>
      <xdr:row>4</xdr:row>
      <xdr:rowOff>36946</xdr:rowOff>
    </xdr:from>
    <xdr:to>
      <xdr:col>9</xdr:col>
      <xdr:colOff>138545</xdr:colOff>
      <xdr:row>10</xdr:row>
      <xdr:rowOff>36945</xdr:rowOff>
    </xdr:to>
    <xdr:sp macro="" textlink="">
      <xdr:nvSpPr>
        <xdr:cNvPr id="43" name="Rectangle: Diagonal Corners Rounded 42">
          <a:extLst>
            <a:ext uri="{FF2B5EF4-FFF2-40B4-BE49-F238E27FC236}">
              <a16:creationId xmlns:a16="http://schemas.microsoft.com/office/drawing/2014/main" id="{F453CF8B-085E-4802-9A9B-E2055F6F6740}"/>
            </a:ext>
          </a:extLst>
        </xdr:cNvPr>
        <xdr:cNvSpPr/>
      </xdr:nvSpPr>
      <xdr:spPr>
        <a:xfrm flipV="1">
          <a:off x="3258126" y="762660"/>
          <a:ext cx="2595419" cy="1088571"/>
        </a:xfrm>
        <a:prstGeom prst="round2Diag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9</xdr:col>
      <xdr:colOff>343342</xdr:colOff>
      <xdr:row>3</xdr:row>
      <xdr:rowOff>93875</xdr:rowOff>
    </xdr:from>
    <xdr:to>
      <xdr:col>10</xdr:col>
      <xdr:colOff>22769</xdr:colOff>
      <xdr:row>5</xdr:row>
      <xdr:rowOff>16089</xdr:rowOff>
    </xdr:to>
    <xdr:sp macro="" textlink="">
      <xdr:nvSpPr>
        <xdr:cNvPr id="44" name="Rectangle 43">
          <a:extLst>
            <a:ext uri="{FF2B5EF4-FFF2-40B4-BE49-F238E27FC236}">
              <a16:creationId xmlns:a16="http://schemas.microsoft.com/office/drawing/2014/main" id="{EE4C1564-3741-48C5-97B3-798DC70812C9}"/>
            </a:ext>
          </a:extLst>
        </xdr:cNvPr>
        <xdr:cNvSpPr/>
      </xdr:nvSpPr>
      <xdr:spPr>
        <a:xfrm>
          <a:off x="6058342" y="613420"/>
          <a:ext cx="314427" cy="268578"/>
        </a:xfrm>
        <a:prstGeom prst="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9</xdr:col>
      <xdr:colOff>443344</xdr:colOff>
      <xdr:row>4</xdr:row>
      <xdr:rowOff>39255</xdr:rowOff>
    </xdr:from>
    <xdr:to>
      <xdr:col>13</xdr:col>
      <xdr:colOff>498763</xdr:colOff>
      <xdr:row>10</xdr:row>
      <xdr:rowOff>39254</xdr:rowOff>
    </xdr:to>
    <xdr:sp macro="" textlink="">
      <xdr:nvSpPr>
        <xdr:cNvPr id="45" name="Rectangle: Diagonal Corners Rounded 44">
          <a:extLst>
            <a:ext uri="{FF2B5EF4-FFF2-40B4-BE49-F238E27FC236}">
              <a16:creationId xmlns:a16="http://schemas.microsoft.com/office/drawing/2014/main" id="{461CD278-ADA9-49B9-92EF-339DAA7CF26A}"/>
            </a:ext>
          </a:extLst>
        </xdr:cNvPr>
        <xdr:cNvSpPr/>
      </xdr:nvSpPr>
      <xdr:spPr>
        <a:xfrm flipV="1">
          <a:off x="6158344" y="731982"/>
          <a:ext cx="2595419" cy="1039090"/>
        </a:xfrm>
        <a:prstGeom prst="round2Diag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14</xdr:col>
      <xdr:colOff>10833</xdr:colOff>
      <xdr:row>3</xdr:row>
      <xdr:rowOff>73093</xdr:rowOff>
    </xdr:from>
    <xdr:to>
      <xdr:col>14</xdr:col>
      <xdr:colOff>325260</xdr:colOff>
      <xdr:row>4</xdr:row>
      <xdr:rowOff>168489</xdr:rowOff>
    </xdr:to>
    <xdr:sp macro="" textlink="">
      <xdr:nvSpPr>
        <xdr:cNvPr id="46" name="Rectangle 45">
          <a:extLst>
            <a:ext uri="{FF2B5EF4-FFF2-40B4-BE49-F238E27FC236}">
              <a16:creationId xmlns:a16="http://schemas.microsoft.com/office/drawing/2014/main" id="{44CBB89F-FEEF-49C2-8346-CA9BF2F08626}"/>
            </a:ext>
          </a:extLst>
        </xdr:cNvPr>
        <xdr:cNvSpPr/>
      </xdr:nvSpPr>
      <xdr:spPr>
        <a:xfrm>
          <a:off x="8900833" y="592638"/>
          <a:ext cx="314427" cy="268578"/>
        </a:xfrm>
        <a:prstGeom prst="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14</xdr:col>
      <xdr:colOff>110835</xdr:colOff>
      <xdr:row>4</xdr:row>
      <xdr:rowOff>18473</xdr:rowOff>
    </xdr:from>
    <xdr:to>
      <xdr:col>18</xdr:col>
      <xdr:colOff>166254</xdr:colOff>
      <xdr:row>10</xdr:row>
      <xdr:rowOff>18472</xdr:rowOff>
    </xdr:to>
    <xdr:sp macro="" textlink="">
      <xdr:nvSpPr>
        <xdr:cNvPr id="47" name="Rectangle: Diagonal Corners Rounded 46">
          <a:extLst>
            <a:ext uri="{FF2B5EF4-FFF2-40B4-BE49-F238E27FC236}">
              <a16:creationId xmlns:a16="http://schemas.microsoft.com/office/drawing/2014/main" id="{1D287DB2-DC93-49D4-BD61-DB32EA47DBA0}"/>
            </a:ext>
          </a:extLst>
        </xdr:cNvPr>
        <xdr:cNvSpPr/>
      </xdr:nvSpPr>
      <xdr:spPr>
        <a:xfrm flipV="1">
          <a:off x="9000835" y="711200"/>
          <a:ext cx="2595419" cy="1039090"/>
        </a:xfrm>
        <a:prstGeom prst="round2Diag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18</xdr:col>
      <xdr:colOff>288637</xdr:colOff>
      <xdr:row>3</xdr:row>
      <xdr:rowOff>92364</xdr:rowOff>
    </xdr:from>
    <xdr:to>
      <xdr:col>18</xdr:col>
      <xdr:colOff>603064</xdr:colOff>
      <xdr:row>5</xdr:row>
      <xdr:rowOff>14578</xdr:rowOff>
    </xdr:to>
    <xdr:sp macro="" textlink="">
      <xdr:nvSpPr>
        <xdr:cNvPr id="48" name="Rectangle 47">
          <a:extLst>
            <a:ext uri="{FF2B5EF4-FFF2-40B4-BE49-F238E27FC236}">
              <a16:creationId xmlns:a16="http://schemas.microsoft.com/office/drawing/2014/main" id="{9EC82D17-3DCC-406A-A184-4DBA32743985}"/>
            </a:ext>
          </a:extLst>
        </xdr:cNvPr>
        <xdr:cNvSpPr/>
      </xdr:nvSpPr>
      <xdr:spPr>
        <a:xfrm>
          <a:off x="11718637" y="611909"/>
          <a:ext cx="314427" cy="268578"/>
        </a:xfrm>
        <a:prstGeom prst="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18</xdr:col>
      <xdr:colOff>388639</xdr:colOff>
      <xdr:row>4</xdr:row>
      <xdr:rowOff>37744</xdr:rowOff>
    </xdr:from>
    <xdr:to>
      <xdr:col>22</xdr:col>
      <xdr:colOff>444058</xdr:colOff>
      <xdr:row>10</xdr:row>
      <xdr:rowOff>37743</xdr:rowOff>
    </xdr:to>
    <xdr:sp macro="" textlink="">
      <xdr:nvSpPr>
        <xdr:cNvPr id="49" name="Rectangle: Diagonal Corners Rounded 48">
          <a:extLst>
            <a:ext uri="{FF2B5EF4-FFF2-40B4-BE49-F238E27FC236}">
              <a16:creationId xmlns:a16="http://schemas.microsoft.com/office/drawing/2014/main" id="{A53E3F58-B370-4281-8169-E574A3EA473A}"/>
            </a:ext>
          </a:extLst>
        </xdr:cNvPr>
        <xdr:cNvSpPr/>
      </xdr:nvSpPr>
      <xdr:spPr>
        <a:xfrm flipV="1">
          <a:off x="11818639" y="730471"/>
          <a:ext cx="2595419" cy="1039090"/>
        </a:xfrm>
        <a:prstGeom prst="round2Diag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4</xdr:col>
      <xdr:colOff>628513</xdr:colOff>
      <xdr:row>11</xdr:row>
      <xdr:rowOff>61257</xdr:rowOff>
    </xdr:from>
    <xdr:to>
      <xdr:col>9</xdr:col>
      <xdr:colOff>542634</xdr:colOff>
      <xdr:row>12</xdr:row>
      <xdr:rowOff>126999</xdr:rowOff>
    </xdr:to>
    <xdr:sp macro="" textlink="">
      <xdr:nvSpPr>
        <xdr:cNvPr id="50" name="Rectangle 49">
          <a:extLst>
            <a:ext uri="{FF2B5EF4-FFF2-40B4-BE49-F238E27FC236}">
              <a16:creationId xmlns:a16="http://schemas.microsoft.com/office/drawing/2014/main" id="{46F9D2E4-234B-4B72-A04E-B7E3E9F6A372}"/>
            </a:ext>
          </a:extLst>
        </xdr:cNvPr>
        <xdr:cNvSpPr/>
      </xdr:nvSpPr>
      <xdr:spPr>
        <a:xfrm>
          <a:off x="3168513" y="1966257"/>
          <a:ext cx="3089121" cy="23892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b="1">
              <a:solidFill>
                <a:sysClr val="windowText" lastClr="000000"/>
              </a:solidFill>
              <a:latin typeface="Segoe UI" panose="020B0502040204020203" pitchFamily="34" charset="0"/>
              <a:cs typeface="Segoe UI" panose="020B0502040204020203" pitchFamily="34" charset="0"/>
            </a:rPr>
            <a:t>Overall</a:t>
          </a:r>
          <a:r>
            <a:rPr lang="en-ID" sz="1100" b="1" baseline="0">
              <a:solidFill>
                <a:sysClr val="windowText" lastClr="000000"/>
              </a:solidFill>
              <a:latin typeface="Segoe UI" panose="020B0502040204020203" pitchFamily="34" charset="0"/>
              <a:cs typeface="Segoe UI" panose="020B0502040204020203" pitchFamily="34" charset="0"/>
            </a:rPr>
            <a:t> Job Satisfaction %</a:t>
          </a:r>
          <a:endParaRPr lang="en-ID" sz="11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10</xdr:col>
      <xdr:colOff>3039</xdr:colOff>
      <xdr:row>11</xdr:row>
      <xdr:rowOff>31818</xdr:rowOff>
    </xdr:from>
    <xdr:to>
      <xdr:col>17</xdr:col>
      <xdr:colOff>352135</xdr:colOff>
      <xdr:row>12</xdr:row>
      <xdr:rowOff>103911</xdr:rowOff>
    </xdr:to>
    <xdr:sp macro="" textlink="">
      <xdr:nvSpPr>
        <xdr:cNvPr id="51" name="Rectangle 50">
          <a:extLst>
            <a:ext uri="{FF2B5EF4-FFF2-40B4-BE49-F238E27FC236}">
              <a16:creationId xmlns:a16="http://schemas.microsoft.com/office/drawing/2014/main" id="{6A2FEC6C-DFEF-429A-9A90-1C66FB72E355}"/>
            </a:ext>
          </a:extLst>
        </xdr:cNvPr>
        <xdr:cNvSpPr/>
      </xdr:nvSpPr>
      <xdr:spPr>
        <a:xfrm>
          <a:off x="6353039" y="1936818"/>
          <a:ext cx="4794096" cy="24527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b="1">
              <a:solidFill>
                <a:sysClr val="windowText" lastClr="000000"/>
              </a:solidFill>
            </a:rPr>
            <a:t>Employees per Month</a:t>
          </a:r>
        </a:p>
      </xdr:txBody>
    </xdr:sp>
    <xdr:clientData/>
  </xdr:twoCellAnchor>
  <xdr:twoCellAnchor>
    <xdr:from>
      <xdr:col>17</xdr:col>
      <xdr:colOff>441189</xdr:colOff>
      <xdr:row>11</xdr:row>
      <xdr:rowOff>32684</xdr:rowOff>
    </xdr:from>
    <xdr:to>
      <xdr:col>22</xdr:col>
      <xdr:colOff>431510</xdr:colOff>
      <xdr:row>12</xdr:row>
      <xdr:rowOff>92364</xdr:rowOff>
    </xdr:to>
    <xdr:sp macro="" textlink="">
      <xdr:nvSpPr>
        <xdr:cNvPr id="52" name="Rectangle 51">
          <a:extLst>
            <a:ext uri="{FF2B5EF4-FFF2-40B4-BE49-F238E27FC236}">
              <a16:creationId xmlns:a16="http://schemas.microsoft.com/office/drawing/2014/main" id="{5F528A69-17FF-4772-84D4-A21B92C709B0}"/>
            </a:ext>
          </a:extLst>
        </xdr:cNvPr>
        <xdr:cNvSpPr/>
      </xdr:nvSpPr>
      <xdr:spPr>
        <a:xfrm>
          <a:off x="11236189" y="1937684"/>
          <a:ext cx="3165321" cy="23286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b="1">
              <a:solidFill>
                <a:sysClr val="windowText" lastClr="000000"/>
              </a:solidFill>
            </a:rPr>
            <a:t>Employees per Job</a:t>
          </a:r>
          <a:r>
            <a:rPr lang="en-ID" sz="1100" b="1" baseline="0">
              <a:solidFill>
                <a:sysClr val="windowText" lastClr="000000"/>
              </a:solidFill>
            </a:rPr>
            <a:t> Title</a:t>
          </a:r>
          <a:endParaRPr lang="en-ID" sz="1100" b="1">
            <a:solidFill>
              <a:sysClr val="windowText" lastClr="000000"/>
            </a:solidFill>
          </a:endParaRPr>
        </a:p>
      </xdr:txBody>
    </xdr:sp>
    <xdr:clientData/>
  </xdr:twoCellAnchor>
  <xdr:twoCellAnchor>
    <xdr:from>
      <xdr:col>4</xdr:col>
      <xdr:colOff>606001</xdr:colOff>
      <xdr:row>13</xdr:row>
      <xdr:rowOff>31750</xdr:rowOff>
    </xdr:from>
    <xdr:to>
      <xdr:col>9</xdr:col>
      <xdr:colOff>492124</xdr:colOff>
      <xdr:row>34</xdr:row>
      <xdr:rowOff>150091</xdr:rowOff>
    </xdr:to>
    <xdr:sp macro="" textlink="">
      <xdr:nvSpPr>
        <xdr:cNvPr id="53" name="Rectangle 52">
          <a:extLst>
            <a:ext uri="{FF2B5EF4-FFF2-40B4-BE49-F238E27FC236}">
              <a16:creationId xmlns:a16="http://schemas.microsoft.com/office/drawing/2014/main" id="{D105A309-1EFE-428E-B089-A38F84EC53F1}"/>
            </a:ext>
          </a:extLst>
        </xdr:cNvPr>
        <xdr:cNvSpPr/>
      </xdr:nvSpPr>
      <xdr:spPr>
        <a:xfrm>
          <a:off x="3146001" y="2283114"/>
          <a:ext cx="3061123" cy="37551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9</xdr:col>
      <xdr:colOff>618702</xdr:colOff>
      <xdr:row>13</xdr:row>
      <xdr:rowOff>32393</xdr:rowOff>
    </xdr:from>
    <xdr:to>
      <xdr:col>17</xdr:col>
      <xdr:colOff>301625</xdr:colOff>
      <xdr:row>23</xdr:row>
      <xdr:rowOff>79375</xdr:rowOff>
    </xdr:to>
    <xdr:sp macro="" textlink="">
      <xdr:nvSpPr>
        <xdr:cNvPr id="54" name="Rectangle 53">
          <a:extLst>
            <a:ext uri="{FF2B5EF4-FFF2-40B4-BE49-F238E27FC236}">
              <a16:creationId xmlns:a16="http://schemas.microsoft.com/office/drawing/2014/main" id="{FB251192-5BB3-465D-AF5D-714B19398B56}"/>
            </a:ext>
          </a:extLst>
        </xdr:cNvPr>
        <xdr:cNvSpPr/>
      </xdr:nvSpPr>
      <xdr:spPr>
        <a:xfrm>
          <a:off x="6333702" y="2302518"/>
          <a:ext cx="4762923" cy="179323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10</xdr:col>
      <xdr:colOff>11543</xdr:colOff>
      <xdr:row>24</xdr:row>
      <xdr:rowOff>933</xdr:rowOff>
    </xdr:from>
    <xdr:to>
      <xdr:col>17</xdr:col>
      <xdr:colOff>314034</xdr:colOff>
      <xdr:row>25</xdr:row>
      <xdr:rowOff>92364</xdr:rowOff>
    </xdr:to>
    <xdr:sp macro="" textlink="">
      <xdr:nvSpPr>
        <xdr:cNvPr id="57" name="Rectangle 56">
          <a:extLst>
            <a:ext uri="{FF2B5EF4-FFF2-40B4-BE49-F238E27FC236}">
              <a16:creationId xmlns:a16="http://schemas.microsoft.com/office/drawing/2014/main" id="{47BB879B-3DCF-4E40-8CB2-93CC8E23C7C2}"/>
            </a:ext>
          </a:extLst>
        </xdr:cNvPr>
        <xdr:cNvSpPr/>
      </xdr:nvSpPr>
      <xdr:spPr>
        <a:xfrm>
          <a:off x="6361543" y="4157297"/>
          <a:ext cx="4747491" cy="26461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100" b="1">
              <a:solidFill>
                <a:sysClr val="windowText" lastClr="000000"/>
              </a:solidFill>
            </a:rPr>
            <a:t>Employees per Departement</a:t>
          </a:r>
        </a:p>
      </xdr:txBody>
    </xdr:sp>
    <xdr:clientData/>
  </xdr:twoCellAnchor>
  <xdr:twoCellAnchor>
    <xdr:from>
      <xdr:col>9</xdr:col>
      <xdr:colOff>586952</xdr:colOff>
      <xdr:row>26</xdr:row>
      <xdr:rowOff>66</xdr:rowOff>
    </xdr:from>
    <xdr:to>
      <xdr:col>22</xdr:col>
      <xdr:colOff>365125</xdr:colOff>
      <xdr:row>34</xdr:row>
      <xdr:rowOff>161636</xdr:rowOff>
    </xdr:to>
    <xdr:sp macro="" textlink="">
      <xdr:nvSpPr>
        <xdr:cNvPr id="58" name="Rectangle 57">
          <a:extLst>
            <a:ext uri="{FF2B5EF4-FFF2-40B4-BE49-F238E27FC236}">
              <a16:creationId xmlns:a16="http://schemas.microsoft.com/office/drawing/2014/main" id="{8EE45F76-BAC7-460D-8663-B2FD890ED98C}"/>
            </a:ext>
          </a:extLst>
        </xdr:cNvPr>
        <xdr:cNvSpPr/>
      </xdr:nvSpPr>
      <xdr:spPr>
        <a:xfrm>
          <a:off x="6301952" y="4502793"/>
          <a:ext cx="8033173" cy="15470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17</xdr:col>
      <xdr:colOff>408419</xdr:colOff>
      <xdr:row>13</xdr:row>
      <xdr:rowOff>43873</xdr:rowOff>
    </xdr:from>
    <xdr:to>
      <xdr:col>22</xdr:col>
      <xdr:colOff>365124</xdr:colOff>
      <xdr:row>25</xdr:row>
      <xdr:rowOff>111125</xdr:rowOff>
    </xdr:to>
    <xdr:sp macro="" textlink="">
      <xdr:nvSpPr>
        <xdr:cNvPr id="59" name="Rectangle 58">
          <a:extLst>
            <a:ext uri="{FF2B5EF4-FFF2-40B4-BE49-F238E27FC236}">
              <a16:creationId xmlns:a16="http://schemas.microsoft.com/office/drawing/2014/main" id="{AF0ACF03-72A8-4DA5-92EA-2CD48562DAA0}"/>
            </a:ext>
          </a:extLst>
        </xdr:cNvPr>
        <xdr:cNvSpPr/>
      </xdr:nvSpPr>
      <xdr:spPr>
        <a:xfrm>
          <a:off x="11203419" y="2313998"/>
          <a:ext cx="3131705" cy="216275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5</xdr:col>
      <xdr:colOff>154214</xdr:colOff>
      <xdr:row>4</xdr:row>
      <xdr:rowOff>72572</xdr:rowOff>
    </xdr:from>
    <xdr:to>
      <xdr:col>8</xdr:col>
      <xdr:colOff>526142</xdr:colOff>
      <xdr:row>6</xdr:row>
      <xdr:rowOff>0</xdr:rowOff>
    </xdr:to>
    <xdr:sp macro="" textlink="">
      <xdr:nvSpPr>
        <xdr:cNvPr id="60" name="TextBox 59">
          <a:extLst>
            <a:ext uri="{FF2B5EF4-FFF2-40B4-BE49-F238E27FC236}">
              <a16:creationId xmlns:a16="http://schemas.microsoft.com/office/drawing/2014/main" id="{7214E4E9-DB2A-282C-E5E4-032F10E28044}"/>
            </a:ext>
          </a:extLst>
        </xdr:cNvPr>
        <xdr:cNvSpPr txBox="1"/>
      </xdr:nvSpPr>
      <xdr:spPr>
        <a:xfrm>
          <a:off x="3329214" y="798286"/>
          <a:ext cx="2276928" cy="290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100" b="1">
              <a:solidFill>
                <a:sysClr val="windowText" lastClr="000000"/>
              </a:solidFill>
              <a:latin typeface="Segoe UI" panose="020B0502040204020203" pitchFamily="34" charset="0"/>
              <a:cs typeface="Segoe UI" panose="020B0502040204020203" pitchFamily="34" charset="0"/>
            </a:rPr>
            <a:t>Total</a:t>
          </a:r>
          <a:r>
            <a:rPr lang="en-ID" sz="1100" b="1" baseline="0">
              <a:solidFill>
                <a:sysClr val="windowText" lastClr="000000"/>
              </a:solidFill>
              <a:latin typeface="Segoe UI" panose="020B0502040204020203" pitchFamily="34" charset="0"/>
              <a:cs typeface="Segoe UI" panose="020B0502040204020203" pitchFamily="34" charset="0"/>
            </a:rPr>
            <a:t> Employees</a:t>
          </a:r>
          <a:endParaRPr lang="en-ID" sz="11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9</xdr:col>
      <xdr:colOff>460828</xdr:colOff>
      <xdr:row>4</xdr:row>
      <xdr:rowOff>25400</xdr:rowOff>
    </xdr:from>
    <xdr:to>
      <xdr:col>13</xdr:col>
      <xdr:colOff>197756</xdr:colOff>
      <xdr:row>5</xdr:row>
      <xdr:rowOff>134256</xdr:rowOff>
    </xdr:to>
    <xdr:sp macro="" textlink="">
      <xdr:nvSpPr>
        <xdr:cNvPr id="61" name="TextBox 60">
          <a:extLst>
            <a:ext uri="{FF2B5EF4-FFF2-40B4-BE49-F238E27FC236}">
              <a16:creationId xmlns:a16="http://schemas.microsoft.com/office/drawing/2014/main" id="{5CBC495A-2AE4-4EC1-B1EA-1F400E36AE4E}"/>
            </a:ext>
          </a:extLst>
        </xdr:cNvPr>
        <xdr:cNvSpPr txBox="1"/>
      </xdr:nvSpPr>
      <xdr:spPr>
        <a:xfrm>
          <a:off x="6175828" y="751114"/>
          <a:ext cx="2276928" cy="290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100" b="1">
              <a:solidFill>
                <a:sysClr val="windowText" lastClr="000000"/>
              </a:solidFill>
              <a:latin typeface="Segoe UI" panose="020B0502040204020203" pitchFamily="34" charset="0"/>
              <a:cs typeface="Segoe UI" panose="020B0502040204020203" pitchFamily="34" charset="0"/>
            </a:rPr>
            <a:t>Average</a:t>
          </a:r>
          <a:r>
            <a:rPr lang="en-ID" sz="1100" b="1" baseline="0">
              <a:solidFill>
                <a:sysClr val="windowText" lastClr="000000"/>
              </a:solidFill>
              <a:latin typeface="Segoe UI" panose="020B0502040204020203" pitchFamily="34" charset="0"/>
              <a:cs typeface="Segoe UI" panose="020B0502040204020203" pitchFamily="34" charset="0"/>
            </a:rPr>
            <a:t> Salary</a:t>
          </a:r>
          <a:endParaRPr lang="en-ID" sz="11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14</xdr:col>
      <xdr:colOff>168728</xdr:colOff>
      <xdr:row>4</xdr:row>
      <xdr:rowOff>5443</xdr:rowOff>
    </xdr:from>
    <xdr:to>
      <xdr:col>17</xdr:col>
      <xdr:colOff>540656</xdr:colOff>
      <xdr:row>5</xdr:row>
      <xdr:rowOff>114299</xdr:rowOff>
    </xdr:to>
    <xdr:sp macro="" textlink="">
      <xdr:nvSpPr>
        <xdr:cNvPr id="62" name="TextBox 61">
          <a:extLst>
            <a:ext uri="{FF2B5EF4-FFF2-40B4-BE49-F238E27FC236}">
              <a16:creationId xmlns:a16="http://schemas.microsoft.com/office/drawing/2014/main" id="{B1D6DD3D-8471-4CD2-99CF-C2863AE284BB}"/>
            </a:ext>
          </a:extLst>
        </xdr:cNvPr>
        <xdr:cNvSpPr txBox="1"/>
      </xdr:nvSpPr>
      <xdr:spPr>
        <a:xfrm>
          <a:off x="9058728" y="731157"/>
          <a:ext cx="2276928" cy="290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100" b="1">
              <a:solidFill>
                <a:sysClr val="windowText" lastClr="000000"/>
              </a:solidFill>
              <a:latin typeface="Segoe UI" panose="020B0502040204020203" pitchFamily="34" charset="0"/>
              <a:cs typeface="Segoe UI" panose="020B0502040204020203" pitchFamily="34" charset="0"/>
            </a:rPr>
            <a:t>Average</a:t>
          </a:r>
          <a:r>
            <a:rPr lang="en-ID" sz="1100" b="1" baseline="0">
              <a:solidFill>
                <a:sysClr val="windowText" lastClr="000000"/>
              </a:solidFill>
              <a:latin typeface="Segoe UI" panose="020B0502040204020203" pitchFamily="34" charset="0"/>
              <a:cs typeface="Segoe UI" panose="020B0502040204020203" pitchFamily="34" charset="0"/>
            </a:rPr>
            <a:t> Tenure</a:t>
          </a:r>
          <a:endParaRPr lang="en-ID" sz="11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18</xdr:col>
      <xdr:colOff>429985</xdr:colOff>
      <xdr:row>4</xdr:row>
      <xdr:rowOff>39914</xdr:rowOff>
    </xdr:from>
    <xdr:to>
      <xdr:col>22</xdr:col>
      <xdr:colOff>166913</xdr:colOff>
      <xdr:row>5</xdr:row>
      <xdr:rowOff>148770</xdr:rowOff>
    </xdr:to>
    <xdr:sp macro="" textlink="">
      <xdr:nvSpPr>
        <xdr:cNvPr id="63" name="TextBox 62">
          <a:extLst>
            <a:ext uri="{FF2B5EF4-FFF2-40B4-BE49-F238E27FC236}">
              <a16:creationId xmlns:a16="http://schemas.microsoft.com/office/drawing/2014/main" id="{EEED8E89-4488-4727-86A4-F5BE4BBE2C48}"/>
            </a:ext>
          </a:extLst>
        </xdr:cNvPr>
        <xdr:cNvSpPr txBox="1"/>
      </xdr:nvSpPr>
      <xdr:spPr>
        <a:xfrm>
          <a:off x="11859985" y="765628"/>
          <a:ext cx="2276928" cy="290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100" b="1">
              <a:solidFill>
                <a:sysClr val="windowText" lastClr="000000"/>
              </a:solidFill>
              <a:latin typeface="Segoe UI" panose="020B0502040204020203" pitchFamily="34" charset="0"/>
              <a:cs typeface="Segoe UI" panose="020B0502040204020203" pitchFamily="34" charset="0"/>
            </a:rPr>
            <a:t>Job</a:t>
          </a:r>
          <a:r>
            <a:rPr lang="en-ID" sz="1100" b="1" baseline="0">
              <a:solidFill>
                <a:sysClr val="windowText" lastClr="000000"/>
              </a:solidFill>
              <a:latin typeface="Segoe UI" panose="020B0502040204020203" pitchFamily="34" charset="0"/>
              <a:cs typeface="Segoe UI" panose="020B0502040204020203" pitchFamily="34" charset="0"/>
            </a:rPr>
            <a:t>  Satisfaction %</a:t>
          </a:r>
          <a:endParaRPr lang="en-ID" sz="11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5</xdr:col>
      <xdr:colOff>174625</xdr:colOff>
      <xdr:row>6</xdr:row>
      <xdr:rowOff>0</xdr:rowOff>
    </xdr:from>
    <xdr:to>
      <xdr:col>9</xdr:col>
      <xdr:colOff>0</xdr:colOff>
      <xdr:row>9</xdr:row>
      <xdr:rowOff>142875</xdr:rowOff>
    </xdr:to>
    <xdr:sp macro="" textlink="'Pivo Tables'!E4">
      <xdr:nvSpPr>
        <xdr:cNvPr id="64" name="TextBox 63">
          <a:extLst>
            <a:ext uri="{FF2B5EF4-FFF2-40B4-BE49-F238E27FC236}">
              <a16:creationId xmlns:a16="http://schemas.microsoft.com/office/drawing/2014/main" id="{CC860637-E65C-0BA7-AD41-58B124822E5D}"/>
            </a:ext>
          </a:extLst>
        </xdr:cNvPr>
        <xdr:cNvSpPr txBox="1"/>
      </xdr:nvSpPr>
      <xdr:spPr>
        <a:xfrm>
          <a:off x="3349625" y="1047750"/>
          <a:ext cx="23653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1568AD-0E19-453B-8078-8577A2139C20}" type="TxLink">
            <a:rPr lang="en-US" sz="4000" b="1" i="0" u="none" strike="noStrike">
              <a:solidFill>
                <a:sysClr val="windowText" lastClr="000000"/>
              </a:solidFill>
              <a:latin typeface="Segoe UI" panose="020B0502040204020203" pitchFamily="34" charset="0"/>
              <a:ea typeface="Calibri"/>
              <a:cs typeface="Segoe UI" panose="020B0502040204020203" pitchFamily="34" charset="0"/>
            </a:rPr>
            <a:pPr algn="ctr"/>
            <a:t> 41 </a:t>
          </a:fld>
          <a:endParaRPr lang="en-ID" sz="40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9</xdr:col>
      <xdr:colOff>586219</xdr:colOff>
      <xdr:row>5</xdr:row>
      <xdr:rowOff>144607</xdr:rowOff>
    </xdr:from>
    <xdr:to>
      <xdr:col>13</xdr:col>
      <xdr:colOff>411594</xdr:colOff>
      <xdr:row>9</xdr:row>
      <xdr:rowOff>112857</xdr:rowOff>
    </xdr:to>
    <xdr:sp macro="" textlink="'Pivo Tables'!E5">
      <xdr:nvSpPr>
        <xdr:cNvPr id="65" name="TextBox 64">
          <a:extLst>
            <a:ext uri="{FF2B5EF4-FFF2-40B4-BE49-F238E27FC236}">
              <a16:creationId xmlns:a16="http://schemas.microsoft.com/office/drawing/2014/main" id="{27A1EAFD-4E56-41B0-9705-5B744ABE5CBF}"/>
            </a:ext>
          </a:extLst>
        </xdr:cNvPr>
        <xdr:cNvSpPr txBox="1"/>
      </xdr:nvSpPr>
      <xdr:spPr>
        <a:xfrm>
          <a:off x="6301219" y="1017732"/>
          <a:ext cx="23653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52E2C7-4F35-45FE-8384-FD6AAA123163}" type="TxLink">
            <a:rPr lang="en-US" sz="4000" b="1" i="0" u="none" strike="noStrike">
              <a:solidFill>
                <a:sysClr val="windowText" lastClr="000000"/>
              </a:solidFill>
              <a:latin typeface="Segoe UI" panose="020B0502040204020203" pitchFamily="34" charset="0"/>
              <a:ea typeface="Calibri"/>
              <a:cs typeface="Segoe UI" panose="020B0502040204020203" pitchFamily="34" charset="0"/>
            </a:rPr>
            <a:pPr algn="ctr"/>
            <a:t>$6.166 </a:t>
          </a:fld>
          <a:endParaRPr lang="en-ID" sz="40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14</xdr:col>
      <xdr:colOff>182994</xdr:colOff>
      <xdr:row>5</xdr:row>
      <xdr:rowOff>74757</xdr:rowOff>
    </xdr:from>
    <xdr:to>
      <xdr:col>18</xdr:col>
      <xdr:colOff>8369</xdr:colOff>
      <xdr:row>9</xdr:row>
      <xdr:rowOff>43007</xdr:rowOff>
    </xdr:to>
    <xdr:sp macro="" textlink="'Pivo Tables'!E6">
      <xdr:nvSpPr>
        <xdr:cNvPr id="66" name="TextBox 65">
          <a:extLst>
            <a:ext uri="{FF2B5EF4-FFF2-40B4-BE49-F238E27FC236}">
              <a16:creationId xmlns:a16="http://schemas.microsoft.com/office/drawing/2014/main" id="{04E23398-BAE8-4C8B-911F-6CB9E2F8C7D7}"/>
            </a:ext>
          </a:extLst>
        </xdr:cNvPr>
        <xdr:cNvSpPr txBox="1"/>
      </xdr:nvSpPr>
      <xdr:spPr>
        <a:xfrm>
          <a:off x="9072994" y="947882"/>
          <a:ext cx="23653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794C65-51EC-45DC-8E93-3634207CF75B}" type="TxLink">
            <a:rPr lang="en-US" sz="4000" b="1" i="0" u="none" strike="noStrike">
              <a:solidFill>
                <a:sysClr val="windowText" lastClr="000000"/>
              </a:solidFill>
              <a:latin typeface="Segoe UI" panose="020B0502040204020203" pitchFamily="34" charset="0"/>
              <a:ea typeface="Calibri"/>
              <a:cs typeface="Segoe UI" panose="020B0502040204020203" pitchFamily="34" charset="0"/>
            </a:rPr>
            <a:pPr algn="ctr"/>
            <a:t> 11,7 </a:t>
          </a:fld>
          <a:endParaRPr lang="en-ID" sz="40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18</xdr:col>
      <xdr:colOff>478269</xdr:colOff>
      <xdr:row>5</xdr:row>
      <xdr:rowOff>68407</xdr:rowOff>
    </xdr:from>
    <xdr:to>
      <xdr:col>22</xdr:col>
      <xdr:colOff>303644</xdr:colOff>
      <xdr:row>9</xdr:row>
      <xdr:rowOff>36657</xdr:rowOff>
    </xdr:to>
    <xdr:sp macro="" textlink="'Pivo Tables'!E9">
      <xdr:nvSpPr>
        <xdr:cNvPr id="67" name="TextBox 66">
          <a:extLst>
            <a:ext uri="{FF2B5EF4-FFF2-40B4-BE49-F238E27FC236}">
              <a16:creationId xmlns:a16="http://schemas.microsoft.com/office/drawing/2014/main" id="{AA61B323-7229-4BD9-9F76-05AC767C9DED}"/>
            </a:ext>
          </a:extLst>
        </xdr:cNvPr>
        <xdr:cNvSpPr txBox="1"/>
      </xdr:nvSpPr>
      <xdr:spPr>
        <a:xfrm>
          <a:off x="11908269" y="941532"/>
          <a:ext cx="23653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F09FB1-2223-43CD-B408-EBC1C0CD9597}" type="TxLink">
            <a:rPr lang="en-US" sz="4000" b="1" i="0" u="none" strike="noStrike">
              <a:solidFill>
                <a:sysClr val="windowText" lastClr="000000"/>
              </a:solidFill>
              <a:latin typeface="Segoe UI" panose="020B0502040204020203" pitchFamily="34" charset="0"/>
              <a:ea typeface="Calibri"/>
              <a:cs typeface="Segoe UI" panose="020B0502040204020203" pitchFamily="34" charset="0"/>
            </a:rPr>
            <a:pPr algn="ctr"/>
            <a:t>47%</a:t>
          </a:fld>
          <a:endParaRPr lang="en-US" sz="4000" b="1" i="0" u="none" strike="noStrike">
            <a:solidFill>
              <a:sysClr val="windowText" lastClr="000000"/>
            </a:solidFill>
            <a:latin typeface="Segoe UI" panose="020B0502040204020203" pitchFamily="34" charset="0"/>
            <a:ea typeface="Calibri"/>
            <a:cs typeface="Segoe UI" panose="020B0502040204020203" pitchFamily="34" charset="0"/>
          </a:endParaRPr>
        </a:p>
      </xdr:txBody>
    </xdr:sp>
    <xdr:clientData/>
  </xdr:twoCellAnchor>
  <xdr:twoCellAnchor>
    <xdr:from>
      <xdr:col>4</xdr:col>
      <xdr:colOff>611908</xdr:colOff>
      <xdr:row>13</xdr:row>
      <xdr:rowOff>11544</xdr:rowOff>
    </xdr:from>
    <xdr:to>
      <xdr:col>9</xdr:col>
      <xdr:colOff>542635</xdr:colOff>
      <xdr:row>35</xdr:row>
      <xdr:rowOff>-1</xdr:rowOff>
    </xdr:to>
    <xdr:graphicFrame macro="">
      <xdr:nvGraphicFramePr>
        <xdr:cNvPr id="68" name="Chart 67">
          <a:extLst>
            <a:ext uri="{FF2B5EF4-FFF2-40B4-BE49-F238E27FC236}">
              <a16:creationId xmlns:a16="http://schemas.microsoft.com/office/drawing/2014/main" id="{F80B77F3-B753-44E8-8602-FBB84E2F5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623454</xdr:colOff>
      <xdr:row>13</xdr:row>
      <xdr:rowOff>11545</xdr:rowOff>
    </xdr:from>
    <xdr:to>
      <xdr:col>17</xdr:col>
      <xdr:colOff>369454</xdr:colOff>
      <xdr:row>23</xdr:row>
      <xdr:rowOff>103908</xdr:rowOff>
    </xdr:to>
    <xdr:graphicFrame macro="">
      <xdr:nvGraphicFramePr>
        <xdr:cNvPr id="69" name="Chart 68">
          <a:extLst>
            <a:ext uri="{FF2B5EF4-FFF2-40B4-BE49-F238E27FC236}">
              <a16:creationId xmlns:a16="http://schemas.microsoft.com/office/drawing/2014/main" id="{30CF2666-3F30-45A1-921E-8CA7FC8397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427181</xdr:colOff>
      <xdr:row>12</xdr:row>
      <xdr:rowOff>161636</xdr:rowOff>
    </xdr:from>
    <xdr:to>
      <xdr:col>22</xdr:col>
      <xdr:colOff>427181</xdr:colOff>
      <xdr:row>25</xdr:row>
      <xdr:rowOff>115455</xdr:rowOff>
    </xdr:to>
    <mc:AlternateContent xmlns:mc="http://schemas.openxmlformats.org/markup-compatibility/2006">
      <mc:Choice xmlns:cx1="http://schemas.microsoft.com/office/drawing/2015/9/8/chartex" Requires="cx1">
        <xdr:graphicFrame macro="">
          <xdr:nvGraphicFramePr>
            <xdr:cNvPr id="70" name="Chart 69">
              <a:extLst>
                <a:ext uri="{FF2B5EF4-FFF2-40B4-BE49-F238E27FC236}">
                  <a16:creationId xmlns:a16="http://schemas.microsoft.com/office/drawing/2014/main" id="{BA0B074B-8A81-4EB4-9C04-B92BA0E1AEE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222181" y="2295236"/>
              <a:ext cx="3175000" cy="2265219"/>
            </a:xfrm>
            <a:prstGeom prst="rect">
              <a:avLst/>
            </a:prstGeom>
            <a:solidFill>
              <a:prstClr val="white"/>
            </a:solidFill>
            <a:ln w="1">
              <a:solidFill>
                <a:prstClr val="green"/>
              </a:solidFill>
            </a:ln>
          </xdr:spPr>
          <xdr:txBody>
            <a:bodyPr vertOverflow="clip" horzOverflow="clip"/>
            <a:lstStyle/>
            <a:p>
              <a:r>
                <a:rPr lang="en-ID"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588818</xdr:colOff>
      <xdr:row>25</xdr:row>
      <xdr:rowOff>161637</xdr:rowOff>
    </xdr:from>
    <xdr:to>
      <xdr:col>22</xdr:col>
      <xdr:colOff>415636</xdr:colOff>
      <xdr:row>35</xdr:row>
      <xdr:rowOff>34636</xdr:rowOff>
    </xdr:to>
    <xdr:graphicFrame macro="">
      <xdr:nvGraphicFramePr>
        <xdr:cNvPr id="72" name="Chart 71">
          <a:extLst>
            <a:ext uri="{FF2B5EF4-FFF2-40B4-BE49-F238E27FC236}">
              <a16:creationId xmlns:a16="http://schemas.microsoft.com/office/drawing/2014/main" id="{6DE5649C-BF63-4681-8AB2-BBA1E004E7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11548</xdr:colOff>
      <xdr:row>3</xdr:row>
      <xdr:rowOff>23092</xdr:rowOff>
    </xdr:from>
    <xdr:to>
      <xdr:col>4</xdr:col>
      <xdr:colOff>508000</xdr:colOff>
      <xdr:row>8</xdr:row>
      <xdr:rowOff>69272</xdr:rowOff>
    </xdr:to>
    <mc:AlternateContent xmlns:mc="http://schemas.openxmlformats.org/markup-compatibility/2006" xmlns:a14="http://schemas.microsoft.com/office/drawing/2010/main">
      <mc:Choice Requires="a14">
        <xdr:graphicFrame macro="">
          <xdr:nvGraphicFramePr>
            <xdr:cNvPr id="81" name="Year">
              <a:extLst>
                <a:ext uri="{FF2B5EF4-FFF2-40B4-BE49-F238E27FC236}">
                  <a16:creationId xmlns:a16="http://schemas.microsoft.com/office/drawing/2014/main" id="{2289A0FD-1003-4C6E-B997-CB71C9C3C61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548" y="546967"/>
              <a:ext cx="3036452" cy="91930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18430</xdr:colOff>
      <xdr:row>8</xdr:row>
      <xdr:rowOff>86991</xdr:rowOff>
    </xdr:from>
    <xdr:to>
      <xdr:col>4</xdr:col>
      <xdr:colOff>484910</xdr:colOff>
      <xdr:row>24</xdr:row>
      <xdr:rowOff>80818</xdr:rowOff>
    </xdr:to>
    <mc:AlternateContent xmlns:mc="http://schemas.openxmlformats.org/markup-compatibility/2006" xmlns:a14="http://schemas.microsoft.com/office/drawing/2010/main">
      <mc:Choice Requires="a14">
        <xdr:graphicFrame macro="">
          <xdr:nvGraphicFramePr>
            <xdr:cNvPr id="82" name="Month">
              <a:extLst>
                <a:ext uri="{FF2B5EF4-FFF2-40B4-BE49-F238E27FC236}">
                  <a16:creationId xmlns:a16="http://schemas.microsoft.com/office/drawing/2014/main" id="{FE115385-C32A-4FE5-864C-2273CF19830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8430" y="1483991"/>
              <a:ext cx="3006480" cy="278782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28197</xdr:colOff>
      <xdr:row>24</xdr:row>
      <xdr:rowOff>110393</xdr:rowOff>
    </xdr:from>
    <xdr:to>
      <xdr:col>4</xdr:col>
      <xdr:colOff>484909</xdr:colOff>
      <xdr:row>35</xdr:row>
      <xdr:rowOff>57727</xdr:rowOff>
    </xdr:to>
    <mc:AlternateContent xmlns:mc="http://schemas.openxmlformats.org/markup-compatibility/2006" xmlns:a14="http://schemas.microsoft.com/office/drawing/2010/main">
      <mc:Choice Requires="a14">
        <xdr:graphicFrame macro="">
          <xdr:nvGraphicFramePr>
            <xdr:cNvPr id="83" name="Job Title">
              <a:extLst>
                <a:ext uri="{FF2B5EF4-FFF2-40B4-BE49-F238E27FC236}">
                  <a16:creationId xmlns:a16="http://schemas.microsoft.com/office/drawing/2014/main" id="{E17DA417-F89F-407D-8655-29DE9D5A4655}"/>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28197" y="4301393"/>
              <a:ext cx="2996712" cy="1868209"/>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496.15280520833" createdVersion="8" refreshedVersion="8" minRefreshableVersion="3" recordCount="32" xr:uid="{5E8529DB-721F-46EF-A85B-8B244586A8CD}">
  <cacheSource type="worksheet">
    <worksheetSource name="Table_1"/>
  </cacheSource>
  <cacheFields count="9">
    <cacheField name="Month" numFmtId="0">
      <sharedItems count="18">
        <s v="Apr-22"/>
        <s v="Apr-23"/>
        <s v="Aug-22"/>
        <s v="Aug-23"/>
        <s v="Dec-22"/>
        <s v="Feb-23"/>
        <s v="Jan-23"/>
        <s v="Jul-22"/>
        <s v="Jul-23"/>
        <s v="Jun-22"/>
        <s v="Jun-23"/>
        <s v="Mar-23"/>
        <s v="May-22"/>
        <s v="May-23"/>
        <s v="Nov-22"/>
        <s v="Oct-22"/>
        <s v="Sep-22"/>
        <s v="Sep-23"/>
      </sharedItems>
    </cacheField>
    <cacheField name="Year" numFmtId="0">
      <sharedItems containsSemiMixedTypes="0" containsString="0" containsNumber="1" containsInteger="1" minValue="2022" maxValue="2023" count="2">
        <n v="2022"/>
        <n v="2023"/>
      </sharedItems>
    </cacheField>
    <cacheField name="Department" numFmtId="0">
      <sharedItems count="32">
        <s v="Apple"/>
        <s v="Pinterest"/>
        <s v="Zoom"/>
        <s v="Tiktok"/>
        <s v="Microsoft"/>
        <s v="Amazon"/>
        <s v="Reddit"/>
        <s v="Tencent"/>
        <s v="LinkedIn"/>
        <s v="Meta"/>
        <s v="Cisco"/>
        <s v="Oracle"/>
        <s v="Samsung"/>
        <s v="Broadcom"/>
        <s v="SAP"/>
        <s v="Salesforce"/>
        <s v="Facebook"/>
        <s v="Adobe"/>
        <s v="Intuit"/>
        <s v="Alphabet"/>
        <s v="Instagram"/>
        <s v="Shopify"/>
        <s v="Synopsis"/>
        <s v="Snapchat"/>
        <s v="Globe"/>
        <s v="Jobstreet"/>
        <s v="Messenger"/>
        <s v="Youtube"/>
        <s v="Twitter"/>
        <s v="Threads"/>
        <s v="Whatsapp"/>
        <s v="Viber"/>
      </sharedItems>
    </cacheField>
    <cacheField name="Job Title" numFmtId="0">
      <sharedItems count="4">
        <s v="Analyst"/>
        <s v="Technical Support"/>
        <s v="Manager"/>
        <s v="Security"/>
      </sharedItems>
    </cacheField>
    <cacheField name="Total Employees" numFmtId="0">
      <sharedItems containsSemiMixedTypes="0" containsString="0" containsNumber="1" containsInteger="1" minValue="8" maxValue="15"/>
    </cacheField>
    <cacheField name="Salary" numFmtId="164">
      <sharedItems containsSemiMixedTypes="0" containsString="0" containsNumber="1" containsInteger="1" minValue="1009" maxValue="9553"/>
    </cacheField>
    <cacheField name="Tenure (Years)" numFmtId="1">
      <sharedItems containsSemiMixedTypes="0" containsString="0" containsNumber="1" containsInteger="1" minValue="0" maxValue="15"/>
    </cacheField>
    <cacheField name="Job Satisfaction %" numFmtId="9">
      <sharedItems containsSemiMixedTypes="0" containsString="0" containsNumber="1" minValue="1.635921983259303E-2" maxValue="0.99837239762561092"/>
    </cacheField>
    <cacheField name="Job Unsatisfaction %" numFmtId="9">
      <sharedItems containsSemiMixedTypes="0" containsString="0" containsNumber="1" minValue="1.6276023743890811E-3" maxValue="0.98364078016740697"/>
    </cacheField>
  </cacheFields>
  <extLst>
    <ext xmlns:x14="http://schemas.microsoft.com/office/spreadsheetml/2009/9/main" uri="{725AE2AE-9491-48be-B2B4-4EB974FC3084}">
      <x14:pivotCacheDefinition pivotCacheId="13063794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n v="10"/>
    <n v="4091"/>
    <n v="7"/>
    <n v="0.91924637245536589"/>
    <n v="8.075362754463411E-2"/>
  </r>
  <r>
    <x v="1"/>
    <x v="0"/>
    <x v="1"/>
    <x v="1"/>
    <n v="9"/>
    <n v="5426"/>
    <n v="10"/>
    <n v="0.68210643699842555"/>
    <n v="0.31789356300157445"/>
  </r>
  <r>
    <x v="2"/>
    <x v="0"/>
    <x v="2"/>
    <x v="2"/>
    <n v="11"/>
    <n v="3750"/>
    <n v="6"/>
    <n v="0.5114082047966152"/>
    <n v="0.4885917952033848"/>
  </r>
  <r>
    <x v="3"/>
    <x v="0"/>
    <x v="3"/>
    <x v="3"/>
    <n v="10"/>
    <n v="3303"/>
    <n v="9"/>
    <n v="0.86008647452233189"/>
    <n v="0.13991352547766811"/>
  </r>
  <r>
    <x v="3"/>
    <x v="1"/>
    <x v="4"/>
    <x v="0"/>
    <n v="11"/>
    <n v="1222"/>
    <n v="9"/>
    <n v="0.12605476052252018"/>
    <n v="0.87394523947747982"/>
  </r>
  <r>
    <x v="3"/>
    <x v="1"/>
    <x v="5"/>
    <x v="1"/>
    <n v="14"/>
    <n v="3042"/>
    <n v="6"/>
    <n v="0.99085145279074383"/>
    <n v="9.1485472092561748E-3"/>
  </r>
  <r>
    <x v="4"/>
    <x v="1"/>
    <x v="6"/>
    <x v="2"/>
    <n v="11"/>
    <n v="1042"/>
    <n v="15"/>
    <n v="0.83918061515936171"/>
    <n v="0.16081938484063829"/>
  </r>
  <r>
    <x v="4"/>
    <x v="0"/>
    <x v="7"/>
    <x v="3"/>
    <n v="13"/>
    <n v="1009"/>
    <n v="3"/>
    <n v="0.29862687501213836"/>
    <n v="0.70137312498786164"/>
  </r>
  <r>
    <x v="5"/>
    <x v="1"/>
    <x v="8"/>
    <x v="0"/>
    <n v="15"/>
    <n v="7723"/>
    <n v="14"/>
    <n v="0.44871253653672771"/>
    <n v="0.55128746346327229"/>
  </r>
  <r>
    <x v="5"/>
    <x v="1"/>
    <x v="9"/>
    <x v="1"/>
    <n v="8"/>
    <n v="3460"/>
    <n v="15"/>
    <n v="0.17855366956963581"/>
    <n v="0.82144633043036419"/>
  </r>
  <r>
    <x v="5"/>
    <x v="1"/>
    <x v="10"/>
    <x v="2"/>
    <n v="15"/>
    <n v="4714"/>
    <n v="7"/>
    <n v="0.98520015489683865"/>
    <n v="1.4799845103161346E-2"/>
  </r>
  <r>
    <x v="5"/>
    <x v="1"/>
    <x v="11"/>
    <x v="3"/>
    <n v="13"/>
    <n v="7687"/>
    <n v="6"/>
    <n v="0.77010764015236965"/>
    <n v="0.22989235984763035"/>
  </r>
  <r>
    <x v="6"/>
    <x v="0"/>
    <x v="12"/>
    <x v="0"/>
    <n v="8"/>
    <n v="4520"/>
    <n v="4"/>
    <n v="0.31793347097861624"/>
    <n v="0.68206652902138376"/>
  </r>
  <r>
    <x v="6"/>
    <x v="1"/>
    <x v="13"/>
    <x v="1"/>
    <n v="9"/>
    <n v="8910"/>
    <n v="15"/>
    <n v="0.34957557803316219"/>
    <n v="0.65042442196683781"/>
  </r>
  <r>
    <x v="6"/>
    <x v="1"/>
    <x v="14"/>
    <x v="2"/>
    <n v="12"/>
    <n v="8649"/>
    <n v="0"/>
    <n v="0.27925542272758075"/>
    <n v="0.72074457727241925"/>
  </r>
  <r>
    <x v="6"/>
    <x v="1"/>
    <x v="15"/>
    <x v="3"/>
    <n v="15"/>
    <n v="7272"/>
    <n v="14"/>
    <n v="0.3832071380905353"/>
    <n v="0.6167928619094647"/>
  </r>
  <r>
    <x v="7"/>
    <x v="0"/>
    <x v="16"/>
    <x v="0"/>
    <n v="9"/>
    <n v="2717"/>
    <n v="1"/>
    <n v="0.99396944437784751"/>
    <n v="6.0305556221524892E-3"/>
  </r>
  <r>
    <x v="7"/>
    <x v="0"/>
    <x v="17"/>
    <x v="1"/>
    <n v="15"/>
    <n v="4681"/>
    <n v="8"/>
    <n v="0.9428564178516774"/>
    <n v="5.7143582148322603E-2"/>
  </r>
  <r>
    <x v="7"/>
    <x v="0"/>
    <x v="18"/>
    <x v="2"/>
    <n v="12"/>
    <n v="3805"/>
    <n v="5"/>
    <n v="0.98572656202663855"/>
    <n v="1.4273437973361447E-2"/>
  </r>
  <r>
    <x v="8"/>
    <x v="0"/>
    <x v="19"/>
    <x v="3"/>
    <n v="15"/>
    <n v="1693"/>
    <n v="1"/>
    <n v="0.38209194885983655"/>
    <n v="0.61790805114016345"/>
  </r>
  <r>
    <x v="9"/>
    <x v="0"/>
    <x v="20"/>
    <x v="0"/>
    <n v="10"/>
    <n v="5438"/>
    <n v="7"/>
    <n v="0.70934212242637462"/>
    <n v="0.29065787757362538"/>
  </r>
  <r>
    <x v="9"/>
    <x v="0"/>
    <x v="21"/>
    <x v="1"/>
    <n v="13"/>
    <n v="6459"/>
    <n v="9"/>
    <n v="0.4915050387025599"/>
    <n v="0.5084949612974401"/>
  </r>
  <r>
    <x v="9"/>
    <x v="0"/>
    <x v="22"/>
    <x v="2"/>
    <n v="10"/>
    <n v="5611"/>
    <n v="12"/>
    <n v="0.62542907676630399"/>
    <n v="0.37457092323369601"/>
  </r>
  <r>
    <x v="10"/>
    <x v="0"/>
    <x v="23"/>
    <x v="3"/>
    <n v="9"/>
    <n v="9491"/>
    <n v="4"/>
    <n v="0.66097490226774958"/>
    <n v="0.33902509773225042"/>
  </r>
  <r>
    <x v="10"/>
    <x v="1"/>
    <x v="24"/>
    <x v="0"/>
    <n v="15"/>
    <n v="9553"/>
    <n v="12"/>
    <n v="0.82813028529210675"/>
    <n v="0.17186971470789325"/>
  </r>
  <r>
    <x v="11"/>
    <x v="0"/>
    <x v="25"/>
    <x v="1"/>
    <n v="15"/>
    <n v="5324"/>
    <n v="7"/>
    <n v="0.71850471541493011"/>
    <n v="0.28149528458506989"/>
  </r>
  <r>
    <x v="12"/>
    <x v="0"/>
    <x v="26"/>
    <x v="2"/>
    <n v="8"/>
    <n v="2784"/>
    <n v="7"/>
    <n v="1.635921983259303E-2"/>
    <n v="0.98364078016740697"/>
  </r>
  <r>
    <x v="13"/>
    <x v="0"/>
    <x v="27"/>
    <x v="3"/>
    <n v="10"/>
    <n v="2837"/>
    <n v="10"/>
    <n v="0.88142317758680422"/>
    <n v="0.11857682241319578"/>
  </r>
  <r>
    <x v="14"/>
    <x v="0"/>
    <x v="28"/>
    <x v="0"/>
    <n v="11"/>
    <n v="8762"/>
    <n v="3"/>
    <n v="0.63115247266814389"/>
    <n v="0.36884752733185611"/>
  </r>
  <r>
    <x v="15"/>
    <x v="0"/>
    <x v="29"/>
    <x v="1"/>
    <n v="10"/>
    <n v="6442"/>
    <n v="9"/>
    <n v="2.2248393063721839E-2"/>
    <n v="0.97775160693627816"/>
  </r>
  <r>
    <x v="16"/>
    <x v="0"/>
    <x v="30"/>
    <x v="2"/>
    <n v="14"/>
    <n v="2876"/>
    <n v="2"/>
    <n v="0.99837239762561092"/>
    <n v="1.6276023743890811E-3"/>
  </r>
  <r>
    <x v="17"/>
    <x v="0"/>
    <x v="31"/>
    <x v="3"/>
    <n v="9"/>
    <n v="4027"/>
    <n v="1"/>
    <n v="0.57282925637132831"/>
    <n v="0.4271707436286716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50ACD6B-2B79-4627-BC87-9C7B577C41D9}" name="PivotTable1"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h="1" x="0"/>
        <item x="1"/>
        <item t="default"/>
      </items>
    </pivotField>
    <pivotField showAll="0"/>
    <pivotField showAll="0">
      <items count="5">
        <item x="0"/>
        <item h="1" x="2"/>
        <item h="1" x="3"/>
        <item h="1" x="1"/>
        <item t="default"/>
      </items>
    </pivotField>
    <pivotField dataField="1" showAll="0"/>
    <pivotField dataField="1" numFmtId="164" showAll="0"/>
    <pivotField dataField="1" numFmtId="1" showAll="0"/>
    <pivotField numFmtId="9" showAll="0"/>
    <pivotField numFmtId="9" showAll="0"/>
  </pivotFields>
  <rowFields count="1">
    <field x="-2"/>
  </rowFields>
  <rowItems count="3">
    <i>
      <x/>
    </i>
    <i i="1">
      <x v="1"/>
    </i>
    <i i="2">
      <x v="2"/>
    </i>
  </rowItems>
  <colItems count="1">
    <i/>
  </colItems>
  <dataFields count="3">
    <dataField name="Sum of Total Employees" fld="4" baseField="0" baseItem="0"/>
    <dataField name="Average of Salary" fld="5" subtotal="average" baseField="0" baseItem="0"/>
    <dataField name="Average of Tenure (Years)" fld="6" subtotal="average" baseField="0" baseItem="0"/>
  </dataFields>
  <formats count="1">
    <format dxfId="1">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2D8171B-5BB3-491E-B849-378C6988A19E}" name="PivotTable6"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M3:N7"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h="1" x="0"/>
        <item x="1"/>
        <item t="default"/>
      </items>
    </pivotField>
    <pivotField axis="axisRow" showAll="0">
      <items count="33">
        <item x="17"/>
        <item x="19"/>
        <item x="5"/>
        <item x="0"/>
        <item x="13"/>
        <item x="10"/>
        <item x="16"/>
        <item x="24"/>
        <item x="20"/>
        <item x="18"/>
        <item x="25"/>
        <item x="8"/>
        <item x="26"/>
        <item x="9"/>
        <item x="4"/>
        <item x="11"/>
        <item x="1"/>
        <item x="6"/>
        <item x="15"/>
        <item x="12"/>
        <item x="14"/>
        <item x="21"/>
        <item x="23"/>
        <item x="22"/>
        <item x="7"/>
        <item x="29"/>
        <item x="3"/>
        <item x="28"/>
        <item x="31"/>
        <item x="30"/>
        <item x="27"/>
        <item x="2"/>
        <item t="default"/>
      </items>
    </pivotField>
    <pivotField showAll="0">
      <items count="5">
        <item x="0"/>
        <item h="1" x="2"/>
        <item h="1" x="3"/>
        <item h="1" x="1"/>
        <item t="default"/>
      </items>
    </pivotField>
    <pivotField dataField="1" showAll="0"/>
    <pivotField numFmtId="164" showAll="0"/>
    <pivotField numFmtId="1" showAll="0"/>
    <pivotField numFmtId="9" showAll="0"/>
    <pivotField numFmtId="9" showAll="0"/>
  </pivotFields>
  <rowFields count="1">
    <field x="2"/>
  </rowFields>
  <rowItems count="4">
    <i>
      <x v="7"/>
    </i>
    <i>
      <x v="11"/>
    </i>
    <i>
      <x v="14"/>
    </i>
    <i t="grand">
      <x/>
    </i>
  </rowItems>
  <colItems count="1">
    <i/>
  </colItems>
  <dataFields count="1">
    <dataField name="Sum of Total Employees" fld="4" baseField="0" baseItem="0" numFmtId="166"/>
  </dataFields>
  <formats count="2">
    <format dxfId="3">
      <pivotArea grandRow="1" outline="0" collapsedLevelsAreSubtotals="1" fieldPosition="0"/>
    </format>
    <format dxfId="2">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9E4FFD4-D13F-4A5A-9A38-3740A6C3C158}" name="PivotTable5"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3:K8"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h="1" x="0"/>
        <item x="1"/>
        <item t="default"/>
      </items>
    </pivotField>
    <pivotField showAll="0"/>
    <pivotField axis="axisRow" showAll="0">
      <items count="5">
        <item x="0"/>
        <item x="2"/>
        <item x="3"/>
        <item x="1"/>
        <item t="default"/>
      </items>
    </pivotField>
    <pivotField dataField="1" showAll="0"/>
    <pivotField numFmtId="164" showAll="0"/>
    <pivotField numFmtId="1" showAll="0"/>
    <pivotField numFmtId="9" showAll="0"/>
    <pivotField numFmtId="9" showAll="0"/>
  </pivotFields>
  <rowFields count="1">
    <field x="3"/>
  </rowFields>
  <rowItems count="5">
    <i>
      <x/>
    </i>
    <i>
      <x v="1"/>
    </i>
    <i>
      <x v="2"/>
    </i>
    <i>
      <x v="3"/>
    </i>
    <i t="grand">
      <x/>
    </i>
  </rowItems>
  <colItems count="1">
    <i/>
  </colItems>
  <dataFields count="1">
    <dataField name="Sum of Total Employees" fld="4" baseField="0" baseItem="0" numFmtId="166"/>
  </dataFields>
  <formats count="2">
    <format dxfId="5">
      <pivotArea grandRow="1" outline="0" collapsedLevelsAreSubtotals="1" fieldPosition="0"/>
    </format>
    <format dxfId="4">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FFC36F4-94BC-4CAD-BF28-1973F8901D9A}" name="PivotTable4"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3:H7" firstHeaderRow="1" firstDataRow="1" firstDataCol="1"/>
  <pivotFields count="9">
    <pivotField axis="axisRow" showAll="0">
      <items count="19">
        <item x="0"/>
        <item x="1"/>
        <item x="2"/>
        <item x="3"/>
        <item x="4"/>
        <item x="5"/>
        <item x="6"/>
        <item x="7"/>
        <item x="8"/>
        <item x="9"/>
        <item x="10"/>
        <item x="11"/>
        <item x="12"/>
        <item x="13"/>
        <item x="14"/>
        <item x="15"/>
        <item x="16"/>
        <item x="17"/>
        <item t="default"/>
      </items>
    </pivotField>
    <pivotField showAll="0">
      <items count="3">
        <item h="1" x="0"/>
        <item x="1"/>
        <item t="default"/>
      </items>
    </pivotField>
    <pivotField showAll="0"/>
    <pivotField showAll="0">
      <items count="5">
        <item x="0"/>
        <item h="1" x="2"/>
        <item h="1" x="3"/>
        <item h="1" x="1"/>
        <item t="default"/>
      </items>
    </pivotField>
    <pivotField dataField="1" showAll="0"/>
    <pivotField numFmtId="164" showAll="0"/>
    <pivotField numFmtId="1" showAll="0"/>
    <pivotField numFmtId="9" showAll="0"/>
    <pivotField numFmtId="9" showAll="0"/>
  </pivotFields>
  <rowFields count="1">
    <field x="0"/>
  </rowFields>
  <rowItems count="4">
    <i>
      <x v="3"/>
    </i>
    <i>
      <x v="5"/>
    </i>
    <i>
      <x v="10"/>
    </i>
    <i t="grand">
      <x/>
    </i>
  </rowItems>
  <colItems count="1">
    <i/>
  </colItems>
  <dataFields count="1">
    <dataField name="Sum of Total Employees" fld="4" baseField="0" baseItem="0"/>
  </dataFields>
  <formats count="1">
    <format dxfId="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15FE01-A384-4A36-B44B-69A222B00612}" name="PivotTable3"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8:B10"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h="1" x="0"/>
        <item x="1"/>
        <item t="default"/>
      </items>
    </pivotField>
    <pivotField showAll="0"/>
    <pivotField showAll="0">
      <items count="5">
        <item x="0"/>
        <item h="1" x="2"/>
        <item h="1" x="3"/>
        <item h="1" x="1"/>
        <item t="default"/>
      </items>
    </pivotField>
    <pivotField showAll="0"/>
    <pivotField numFmtId="164" showAll="0"/>
    <pivotField numFmtId="1" showAll="0"/>
    <pivotField dataField="1" numFmtId="9" showAll="0"/>
    <pivotField dataField="1" numFmtId="9" showAll="0"/>
  </pivotFields>
  <rowFields count="1">
    <field x="-2"/>
  </rowFields>
  <rowItems count="2">
    <i>
      <x/>
    </i>
    <i i="1">
      <x v="1"/>
    </i>
  </rowItems>
  <colItems count="1">
    <i/>
  </colItems>
  <dataFields count="2">
    <dataField name="Average of Job Satisfaction %" fld="7" subtotal="average" baseField="0" baseItem="0"/>
    <dataField name="Average of Job Unsatisfaction %" fld="8" subtotal="average" baseField="0" baseItem="0"/>
  </dataFields>
  <formats count="2">
    <format dxfId="8">
      <pivotArea outline="0" collapsedLevelsAreSubtotals="1" fieldPosition="0"/>
    </format>
    <format dxfId="7">
      <pivotArea dataOnly="0" labelOnly="1" grandCol="1" outline="0" axis="axisCol" fieldPosition="0"/>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1">
          <reference field="4294967294" count="1" selected="0">
            <x v="0"/>
          </reference>
        </references>
      </pivotArea>
    </chartFormat>
    <chartFormat chart="3" format="6">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8AC4939-9466-457A-977F-7E26022A66DE}" sourceName="Year">
  <pivotTables>
    <pivotTable tabId="4" name="PivotTable1"/>
    <pivotTable tabId="4" name="PivotTable3"/>
    <pivotTable tabId="4" name="PivotTable4"/>
    <pivotTable tabId="4" name="PivotTable5"/>
    <pivotTable tabId="4" name="PivotTable6"/>
  </pivotTables>
  <data>
    <tabular pivotCacheId="1306379431">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71A44B2-A020-4DA7-A515-34B4348C6FD5}" sourceName="Month">
  <pivotTables>
    <pivotTable tabId="4" name="PivotTable1"/>
    <pivotTable tabId="4" name="PivotTable3"/>
    <pivotTable tabId="4" name="PivotTable4"/>
    <pivotTable tabId="4" name="PivotTable5"/>
    <pivotTable tabId="4" name="PivotTable6"/>
  </pivotTables>
  <data>
    <tabular pivotCacheId="1306379431">
      <items count="18">
        <i x="3" s="1"/>
        <i x="4" s="1"/>
        <i x="5" s="1"/>
        <i x="6" s="1"/>
        <i x="10" s="1"/>
        <i x="0" s="1" nd="1"/>
        <i x="1" s="1" nd="1"/>
        <i x="2" s="1" nd="1"/>
        <i x="7" s="1" nd="1"/>
        <i x="8" s="1" nd="1"/>
        <i x="9" s="1" nd="1"/>
        <i x="11" s="1" nd="1"/>
        <i x="12" s="1" nd="1"/>
        <i x="13" s="1" nd="1"/>
        <i x="14" s="1" nd="1"/>
        <i x="15" s="1" nd="1"/>
        <i x="16" s="1" nd="1"/>
        <i x="1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8A9E9ADC-E585-4CA6-A0EB-02A02A520C96}" sourceName="Job Title">
  <pivotTables>
    <pivotTable tabId="4" name="PivotTable1"/>
    <pivotTable tabId="4" name="PivotTable3"/>
    <pivotTable tabId="4" name="PivotTable4"/>
    <pivotTable tabId="4" name="PivotTable6"/>
  </pivotTables>
  <data>
    <tabular pivotCacheId="1306379431">
      <items count="4">
        <i x="0" s="1"/>
        <i x="2"/>
        <i x="3"/>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DEA9F99-F58F-4CF1-9F33-ADB75EC71160}" cache="Slicer_Year" caption="Year" style="SlicerStyleOther2" rowHeight="241300"/>
  <slicer name="Month" xr10:uid="{D4B79A73-1979-43B0-991F-AD0257994FD7}" cache="Slicer_Month" caption="Month" columnCount="2" style="SlicerStyleOther2" rowHeight="241300"/>
  <slicer name="Job Title" xr10:uid="{FF7D0927-666F-4C6C-AA4F-4ADF9E5F2D36}" cache="Slicer_Job_Title" caption="Job Title"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I33">
  <tableColumns count="9">
    <tableColumn id="1" xr3:uid="{00000000-0010-0000-0000-000001000000}" name="Month"/>
    <tableColumn id="2" xr3:uid="{00000000-0010-0000-0000-000002000000}" name="Year"/>
    <tableColumn id="3" xr3:uid="{00000000-0010-0000-0000-000003000000}" name="Department"/>
    <tableColumn id="4" xr3:uid="{00000000-0010-0000-0000-000004000000}" name="Job Title"/>
    <tableColumn id="5" xr3:uid="{00000000-0010-0000-0000-000005000000}" name="Total Employees"/>
    <tableColumn id="6" xr3:uid="{00000000-0010-0000-0000-000006000000}" name="Salary"/>
    <tableColumn id="7" xr3:uid="{00000000-0010-0000-0000-000007000000}" name="Tenure (Years)"/>
    <tableColumn id="8" xr3:uid="{00000000-0010-0000-0000-000008000000}" name="Job Satisfaction %"/>
    <tableColumn id="9" xr3:uid="{00000000-0010-0000-0000-000009000000}" name="Job Unsatisfaction %"/>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showGridLines="0" tabSelected="1" zoomScale="40" zoomScaleNormal="40" workbookViewId="0">
      <selection activeCell="AG26" sqref="AG26"/>
    </sheetView>
  </sheetViews>
  <sheetFormatPr defaultColWidth="14.453125" defaultRowHeight="15" customHeight="1" x14ac:dyDescent="0.35"/>
  <cols>
    <col min="1" max="26" width="9.08984375" customWidth="1"/>
  </cols>
  <sheetData>
    <row r="1" spans="1:26" ht="14.25" customHeight="1" x14ac:dyDescent="0.35">
      <c r="A1" s="7"/>
      <c r="B1" s="7"/>
      <c r="C1" s="7"/>
      <c r="D1" s="7"/>
      <c r="E1" s="7"/>
      <c r="F1" s="7"/>
      <c r="G1" s="7"/>
      <c r="H1" s="7"/>
      <c r="I1" s="7"/>
      <c r="J1" s="7"/>
      <c r="K1" s="7"/>
      <c r="L1" s="7"/>
      <c r="M1" s="7"/>
      <c r="N1" s="7"/>
      <c r="O1" s="7"/>
      <c r="P1" s="7"/>
      <c r="Q1" s="7"/>
      <c r="R1" s="7"/>
      <c r="S1" s="7"/>
      <c r="T1" s="7"/>
      <c r="U1" s="7"/>
      <c r="V1" s="7"/>
      <c r="W1" s="7"/>
      <c r="X1" s="7"/>
      <c r="Y1" s="7"/>
      <c r="Z1" s="7"/>
    </row>
    <row r="2" spans="1:26" ht="14.25" customHeight="1" x14ac:dyDescent="0.45">
      <c r="A2" s="7"/>
      <c r="B2" s="7"/>
      <c r="C2" s="7"/>
      <c r="D2" s="7"/>
      <c r="E2" s="7"/>
      <c r="F2" s="7"/>
      <c r="G2" s="7"/>
      <c r="H2" s="7"/>
      <c r="I2" s="7"/>
      <c r="J2" s="8"/>
      <c r="K2" s="7"/>
      <c r="L2" s="7"/>
      <c r="M2" s="7"/>
      <c r="N2" s="7"/>
      <c r="O2" s="7"/>
      <c r="P2" s="7"/>
      <c r="Q2" s="7"/>
      <c r="R2" s="7"/>
      <c r="S2" s="7"/>
      <c r="T2" s="7"/>
      <c r="U2" s="7"/>
      <c r="V2" s="7"/>
      <c r="W2" s="7"/>
      <c r="X2" s="7"/>
      <c r="Y2" s="7"/>
      <c r="Z2" s="7"/>
    </row>
    <row r="3" spans="1:26" ht="14.25" customHeight="1" x14ac:dyDescent="0.35">
      <c r="A3" s="7"/>
      <c r="B3" s="7"/>
      <c r="C3" s="7"/>
      <c r="D3" s="7"/>
      <c r="E3" s="7"/>
      <c r="F3" s="7"/>
      <c r="G3" s="7"/>
      <c r="H3" s="7"/>
      <c r="I3" s="7"/>
      <c r="K3" s="7"/>
      <c r="L3" s="7"/>
      <c r="M3" s="7"/>
      <c r="N3" s="7"/>
      <c r="O3" s="7"/>
      <c r="P3" s="7"/>
      <c r="Q3" s="7"/>
      <c r="R3" s="7"/>
      <c r="S3" s="7"/>
      <c r="T3" s="7"/>
      <c r="U3" s="7"/>
      <c r="V3" s="7"/>
      <c r="W3" s="7"/>
      <c r="X3" s="7"/>
      <c r="Y3" s="7"/>
      <c r="Z3" s="7"/>
    </row>
    <row r="4" spans="1:26" ht="14.25" customHeight="1" x14ac:dyDescent="0.35">
      <c r="A4" s="7"/>
      <c r="B4" s="7"/>
      <c r="C4" s="7"/>
      <c r="D4" s="7"/>
      <c r="E4" s="7"/>
      <c r="F4" s="7"/>
      <c r="G4" s="7"/>
      <c r="H4" s="7"/>
      <c r="I4" s="7"/>
      <c r="J4" s="7"/>
      <c r="K4" s="7"/>
      <c r="L4" s="7"/>
      <c r="M4" s="7"/>
      <c r="N4" s="7"/>
      <c r="O4" s="7"/>
      <c r="P4" s="7"/>
      <c r="Q4" s="7"/>
      <c r="R4" s="7"/>
      <c r="S4" s="7"/>
      <c r="T4" s="7"/>
      <c r="U4" s="7"/>
      <c r="V4" s="7"/>
      <c r="W4" s="7"/>
      <c r="X4" s="7"/>
      <c r="Y4" s="7"/>
      <c r="Z4" s="7"/>
    </row>
    <row r="5" spans="1:26" ht="14.25" customHeight="1" x14ac:dyDescent="0.35">
      <c r="A5" s="7"/>
      <c r="B5" s="7"/>
      <c r="C5" s="7"/>
      <c r="D5" s="7"/>
      <c r="E5" s="7"/>
      <c r="F5" s="7"/>
      <c r="G5" s="7"/>
      <c r="H5" s="7"/>
      <c r="I5" s="7"/>
      <c r="J5" s="7"/>
      <c r="K5" s="7"/>
      <c r="L5" s="7"/>
      <c r="M5" s="7"/>
      <c r="N5" s="7"/>
      <c r="O5" s="7"/>
      <c r="P5" s="7"/>
      <c r="Q5" s="7"/>
      <c r="R5" s="7"/>
      <c r="S5" s="7"/>
      <c r="T5" s="7"/>
      <c r="U5" s="7"/>
      <c r="V5" s="7"/>
      <c r="W5" s="7"/>
      <c r="X5" s="7"/>
      <c r="Y5" s="7"/>
      <c r="Z5" s="7"/>
    </row>
    <row r="6" spans="1:26" ht="14.25" customHeight="1" x14ac:dyDescent="0.35">
      <c r="A6" s="7"/>
      <c r="B6" s="7"/>
      <c r="C6" s="7"/>
      <c r="D6" s="7"/>
      <c r="E6" s="7"/>
      <c r="F6" s="7"/>
      <c r="G6" s="7"/>
      <c r="H6" s="7"/>
      <c r="I6" s="7"/>
      <c r="J6" s="7"/>
      <c r="K6" s="7"/>
      <c r="L6" s="7"/>
      <c r="M6" s="7"/>
      <c r="N6" s="7"/>
      <c r="O6" s="7"/>
      <c r="P6" s="7"/>
      <c r="Q6" s="7"/>
      <c r="R6" s="7"/>
      <c r="S6" s="7"/>
      <c r="T6" s="7"/>
      <c r="U6" s="7"/>
      <c r="V6" s="7"/>
      <c r="W6" s="7"/>
      <c r="X6" s="7"/>
      <c r="Y6" s="7"/>
      <c r="Z6" s="7"/>
    </row>
    <row r="7" spans="1:26" ht="14.25" customHeight="1" x14ac:dyDescent="0.35">
      <c r="A7" s="7"/>
      <c r="B7" s="7"/>
      <c r="C7" s="7"/>
      <c r="D7" s="7"/>
      <c r="E7" s="7"/>
      <c r="F7" s="7"/>
      <c r="G7" s="7"/>
      <c r="H7" s="7"/>
      <c r="I7" s="7"/>
      <c r="J7" s="7"/>
      <c r="K7" s="7"/>
      <c r="L7" s="7"/>
      <c r="M7" s="7"/>
      <c r="N7" s="7"/>
      <c r="O7" s="7"/>
      <c r="P7" s="7"/>
      <c r="Q7" s="7"/>
      <c r="R7" s="7"/>
      <c r="S7" s="7"/>
      <c r="T7" s="7"/>
      <c r="U7" s="7"/>
      <c r="V7" s="7"/>
      <c r="W7" s="7"/>
      <c r="X7" s="7"/>
      <c r="Y7" s="7"/>
      <c r="Z7" s="7"/>
    </row>
    <row r="8" spans="1:26" ht="14.25" customHeight="1" x14ac:dyDescent="0.35">
      <c r="A8" s="7"/>
      <c r="B8" s="7"/>
      <c r="C8" s="7"/>
      <c r="D8" s="7"/>
      <c r="E8" s="7"/>
      <c r="F8" s="7"/>
      <c r="G8" s="7"/>
      <c r="H8" s="7"/>
      <c r="I8" s="7"/>
      <c r="J8" s="7"/>
      <c r="K8" s="7"/>
      <c r="L8" s="7"/>
      <c r="M8" s="7"/>
      <c r="N8" s="7"/>
      <c r="O8" s="7"/>
      <c r="P8" s="7"/>
      <c r="Q8" s="7"/>
      <c r="R8" s="7"/>
      <c r="S8" s="7"/>
      <c r="T8" s="7"/>
      <c r="U8" s="7"/>
      <c r="V8" s="7"/>
      <c r="W8" s="7"/>
      <c r="X8" s="7"/>
      <c r="Y8" s="7"/>
      <c r="Z8" s="7"/>
    </row>
    <row r="9" spans="1:26" ht="14.25" customHeight="1" x14ac:dyDescent="0.35">
      <c r="A9" s="7"/>
      <c r="B9" s="7"/>
      <c r="C9" s="7"/>
      <c r="D9" s="7"/>
      <c r="E9" s="7"/>
      <c r="F9" s="7"/>
      <c r="G9" s="7"/>
      <c r="H9" s="7"/>
      <c r="I9" s="7"/>
      <c r="J9" s="7"/>
      <c r="K9" s="7"/>
      <c r="L9" s="7"/>
      <c r="M9" s="7"/>
      <c r="N9" s="7"/>
      <c r="O9" s="7"/>
      <c r="P9" s="7"/>
      <c r="Q9" s="7"/>
      <c r="R9" s="7"/>
      <c r="S9" s="7"/>
      <c r="T9" s="7"/>
      <c r="U9" s="7"/>
      <c r="V9" s="7"/>
      <c r="W9" s="7"/>
      <c r="X9" s="7"/>
      <c r="Y9" s="7"/>
      <c r="Z9" s="7"/>
    </row>
    <row r="10" spans="1:26" ht="14.25" customHeight="1" x14ac:dyDescent="0.35">
      <c r="A10" s="7"/>
      <c r="B10" s="7"/>
      <c r="C10" s="7"/>
      <c r="D10" s="7"/>
      <c r="E10" s="7"/>
      <c r="F10" s="7"/>
      <c r="G10" s="7"/>
      <c r="H10" s="7"/>
      <c r="I10" s="7"/>
      <c r="J10" s="7"/>
      <c r="K10" s="7"/>
      <c r="L10" s="7"/>
      <c r="M10" s="7"/>
      <c r="N10" s="7"/>
      <c r="O10" s="7"/>
      <c r="P10" s="7"/>
      <c r="Q10" s="7"/>
      <c r="R10" s="7"/>
      <c r="S10" s="7"/>
      <c r="T10" s="7"/>
      <c r="U10" s="7"/>
      <c r="V10" s="7"/>
      <c r="W10" s="7"/>
      <c r="X10" s="7"/>
      <c r="Y10" s="7"/>
      <c r="Z10" s="7"/>
    </row>
    <row r="11" spans="1:26" ht="14.25" customHeight="1" x14ac:dyDescent="0.35">
      <c r="A11" s="7"/>
      <c r="B11" s="7"/>
      <c r="C11" s="7"/>
      <c r="D11" s="7"/>
      <c r="E11" s="7"/>
      <c r="F11" s="7"/>
      <c r="G11" s="7"/>
      <c r="H11" s="7"/>
      <c r="I11" s="7"/>
      <c r="J11" s="7"/>
      <c r="K11" s="7"/>
      <c r="L11" s="7"/>
      <c r="M11" s="7"/>
      <c r="N11" s="7"/>
      <c r="O11" s="7"/>
      <c r="P11" s="7"/>
      <c r="Q11" s="7"/>
      <c r="R11" s="7"/>
      <c r="S11" s="7"/>
      <c r="T11" s="7"/>
      <c r="U11" s="7"/>
      <c r="V11" s="7"/>
      <c r="W11" s="7"/>
      <c r="X11" s="7"/>
      <c r="Y11" s="7"/>
      <c r="Z11" s="7"/>
    </row>
    <row r="12" spans="1:26" ht="14.25" customHeight="1" x14ac:dyDescent="0.35">
      <c r="A12" s="7"/>
      <c r="B12" s="7"/>
      <c r="C12" s="7"/>
      <c r="D12" s="7"/>
      <c r="E12" s="7"/>
      <c r="F12" s="7"/>
      <c r="G12" s="7"/>
      <c r="H12" s="7"/>
      <c r="I12" s="7"/>
      <c r="J12" s="7"/>
      <c r="K12" s="7"/>
      <c r="L12" s="7"/>
      <c r="M12" s="7"/>
      <c r="N12" s="7"/>
      <c r="O12" s="7"/>
      <c r="P12" s="7"/>
      <c r="Q12" s="7"/>
      <c r="R12" s="7"/>
      <c r="S12" s="7"/>
      <c r="T12" s="7"/>
      <c r="U12" s="7"/>
      <c r="V12" s="7"/>
      <c r="W12" s="7"/>
      <c r="X12" s="7"/>
      <c r="Y12" s="7"/>
      <c r="Z12" s="7"/>
    </row>
    <row r="13" spans="1:26" ht="14.25" customHeight="1" x14ac:dyDescent="0.35">
      <c r="A13" s="7"/>
      <c r="B13" s="7"/>
      <c r="C13" s="7"/>
      <c r="D13" s="7"/>
      <c r="E13" s="7"/>
      <c r="F13" s="7"/>
      <c r="G13" s="7"/>
      <c r="H13" s="7"/>
      <c r="I13" s="7"/>
      <c r="J13" s="7"/>
      <c r="K13" s="7"/>
      <c r="L13" s="7"/>
      <c r="M13" s="7"/>
      <c r="N13" s="7"/>
      <c r="O13" s="7"/>
      <c r="P13" s="7"/>
      <c r="Q13" s="7"/>
      <c r="R13" s="7"/>
      <c r="S13" s="7"/>
      <c r="T13" s="7"/>
      <c r="U13" s="7"/>
      <c r="V13" s="7"/>
      <c r="W13" s="7"/>
      <c r="X13" s="32"/>
      <c r="Y13" s="7"/>
      <c r="Z13" s="7"/>
    </row>
    <row r="14" spans="1:26" ht="14.25" customHeight="1" x14ac:dyDescent="0.35">
      <c r="A14" s="7"/>
      <c r="B14" s="7"/>
      <c r="C14" s="7"/>
      <c r="D14" s="7"/>
      <c r="E14" s="7"/>
      <c r="F14" s="7"/>
      <c r="G14" s="7"/>
      <c r="H14" s="7"/>
      <c r="I14" s="7"/>
      <c r="J14" s="7"/>
      <c r="K14" s="7"/>
      <c r="L14" s="7"/>
      <c r="M14" s="7"/>
      <c r="N14" s="7"/>
      <c r="O14" s="7"/>
      <c r="P14" s="7"/>
      <c r="Q14" s="7"/>
      <c r="R14" s="7"/>
      <c r="S14" s="7"/>
      <c r="T14" s="7"/>
      <c r="U14" s="7"/>
      <c r="V14" s="7"/>
      <c r="W14" s="7"/>
      <c r="X14" s="7"/>
      <c r="Y14" s="7"/>
      <c r="Z14" s="7"/>
    </row>
    <row r="15" spans="1:26" ht="14.25" customHeight="1" x14ac:dyDescent="0.35">
      <c r="A15" s="7"/>
      <c r="B15" s="7"/>
      <c r="C15" s="7"/>
      <c r="D15" s="7"/>
      <c r="E15" s="7"/>
      <c r="F15" s="7"/>
      <c r="G15" s="7"/>
      <c r="H15" s="7"/>
      <c r="I15" s="7"/>
      <c r="J15" s="7"/>
      <c r="K15" s="7"/>
      <c r="L15" s="7"/>
      <c r="M15" s="7"/>
      <c r="N15" s="7"/>
      <c r="O15" s="7"/>
      <c r="P15" s="7"/>
      <c r="Q15" s="7"/>
      <c r="R15" s="7"/>
      <c r="S15" s="7"/>
      <c r="T15" s="7"/>
      <c r="U15" s="7"/>
      <c r="V15" s="7"/>
      <c r="W15" s="7"/>
      <c r="X15" s="7"/>
      <c r="Y15" s="7"/>
      <c r="Z15" s="7"/>
    </row>
    <row r="16" spans="1:26" ht="14.25" customHeight="1" x14ac:dyDescent="0.35">
      <c r="A16" s="7"/>
      <c r="B16" s="7"/>
      <c r="C16" s="7"/>
      <c r="D16" s="7"/>
      <c r="E16" s="7"/>
      <c r="F16" s="7"/>
      <c r="G16" s="7"/>
      <c r="H16" s="7"/>
      <c r="I16" s="7"/>
      <c r="J16" s="7"/>
      <c r="K16" s="7"/>
      <c r="L16" s="7"/>
      <c r="M16" s="7"/>
      <c r="N16" s="7"/>
      <c r="O16" s="7"/>
      <c r="P16" s="7"/>
      <c r="Q16" s="7"/>
      <c r="R16" s="7"/>
      <c r="S16" s="7"/>
      <c r="T16" s="7"/>
      <c r="U16" s="7"/>
      <c r="V16" s="7"/>
      <c r="W16" s="7"/>
      <c r="X16" s="7"/>
      <c r="Y16" s="7"/>
      <c r="Z16" s="7"/>
    </row>
    <row r="17" spans="1:26" ht="14.25" customHeight="1" x14ac:dyDescent="0.35">
      <c r="A17" s="7"/>
      <c r="B17" s="7"/>
      <c r="C17" s="7"/>
      <c r="D17" s="7"/>
      <c r="E17" s="7"/>
      <c r="F17" s="7"/>
      <c r="G17" s="7"/>
      <c r="H17" s="7"/>
      <c r="I17" s="7"/>
      <c r="J17" s="7"/>
      <c r="K17" s="7"/>
      <c r="L17" s="7"/>
      <c r="M17" s="7"/>
      <c r="N17" s="7"/>
      <c r="O17" s="7"/>
      <c r="P17" s="7"/>
      <c r="Q17" s="7"/>
      <c r="R17" s="7"/>
      <c r="S17" s="7"/>
      <c r="T17" s="7"/>
      <c r="U17" s="7"/>
      <c r="V17" s="7"/>
      <c r="W17" s="7"/>
      <c r="X17" s="7"/>
      <c r="Y17" s="7"/>
      <c r="Z17" s="7"/>
    </row>
    <row r="18" spans="1:26" ht="14.25" customHeight="1" x14ac:dyDescent="0.35">
      <c r="A18" s="7"/>
      <c r="B18" s="7"/>
      <c r="C18" s="7"/>
      <c r="D18" s="7"/>
      <c r="E18" s="7"/>
      <c r="F18" s="7"/>
      <c r="G18" s="7"/>
      <c r="H18" s="7"/>
      <c r="I18" s="7"/>
      <c r="J18" s="7"/>
      <c r="K18" s="7"/>
      <c r="L18" s="7"/>
      <c r="M18" s="7"/>
      <c r="N18" s="7"/>
      <c r="O18" s="7"/>
      <c r="P18" s="7"/>
      <c r="Q18" s="7"/>
      <c r="R18" s="7"/>
      <c r="S18" s="7"/>
      <c r="T18" s="7"/>
      <c r="U18" s="7"/>
      <c r="V18" s="7"/>
      <c r="W18" s="7"/>
      <c r="X18" s="7"/>
      <c r="Y18" s="7"/>
      <c r="Z18" s="7"/>
    </row>
    <row r="19" spans="1:26" ht="14.25" customHeight="1" x14ac:dyDescent="0.35">
      <c r="A19" s="7"/>
      <c r="B19" s="7"/>
      <c r="C19" s="7"/>
      <c r="D19" s="7"/>
      <c r="E19" s="7"/>
      <c r="F19" s="7"/>
      <c r="G19" s="7"/>
      <c r="H19" s="7"/>
      <c r="I19" s="7"/>
      <c r="J19" s="7"/>
      <c r="K19" s="7"/>
      <c r="L19" s="7"/>
      <c r="M19" s="7"/>
      <c r="N19" s="7"/>
      <c r="O19" s="7"/>
      <c r="P19" s="7"/>
      <c r="Q19" s="7"/>
      <c r="R19" s="7"/>
      <c r="S19" s="7"/>
      <c r="T19" s="7"/>
      <c r="U19" s="7"/>
      <c r="V19" s="7"/>
      <c r="W19" s="7"/>
      <c r="X19" s="7"/>
      <c r="Y19" s="7"/>
      <c r="Z19" s="7"/>
    </row>
    <row r="20" spans="1:26" ht="14.25" customHeight="1" x14ac:dyDescent="0.35">
      <c r="A20" s="7"/>
      <c r="B20" s="7"/>
      <c r="C20" s="7"/>
      <c r="D20" s="7"/>
      <c r="E20" s="7"/>
      <c r="F20" s="7"/>
      <c r="G20" s="7"/>
      <c r="H20" s="7"/>
      <c r="I20" s="7"/>
      <c r="J20" s="7"/>
      <c r="K20" s="7"/>
      <c r="L20" s="7"/>
      <c r="M20" s="7"/>
      <c r="N20" s="7"/>
      <c r="O20" s="7"/>
      <c r="P20" s="7"/>
      <c r="Q20" s="7"/>
      <c r="R20" s="7"/>
      <c r="S20" s="7"/>
      <c r="T20" s="7"/>
      <c r="U20" s="7"/>
      <c r="V20" s="7"/>
      <c r="W20" s="7"/>
      <c r="X20" s="7"/>
      <c r="Y20" s="7"/>
      <c r="Z20" s="7"/>
    </row>
    <row r="21" spans="1:26" ht="14.25" customHeight="1" x14ac:dyDescent="0.35">
      <c r="A21" s="7"/>
      <c r="B21" s="7"/>
      <c r="C21" s="7"/>
      <c r="D21" s="7"/>
      <c r="E21" s="7"/>
      <c r="F21" s="7"/>
      <c r="G21" s="7"/>
      <c r="H21" s="7"/>
      <c r="I21" s="7"/>
      <c r="J21" s="7"/>
      <c r="K21" s="7"/>
      <c r="L21" s="7"/>
      <c r="M21" s="7"/>
      <c r="N21" s="7"/>
      <c r="O21" s="7"/>
      <c r="P21" s="7"/>
      <c r="Q21" s="7"/>
      <c r="R21" s="7"/>
      <c r="S21" s="7"/>
      <c r="T21" s="7"/>
      <c r="U21" s="7"/>
      <c r="V21" s="7"/>
      <c r="W21" s="7"/>
      <c r="X21" s="7"/>
      <c r="Y21" s="7"/>
      <c r="Z21" s="7"/>
    </row>
    <row r="22" spans="1:26" ht="14.25" customHeight="1" x14ac:dyDescent="0.35">
      <c r="A22" s="7"/>
      <c r="B22" s="7"/>
      <c r="C22" s="7"/>
      <c r="D22" s="7"/>
      <c r="E22" s="7"/>
      <c r="F22" s="7"/>
      <c r="G22" s="7"/>
      <c r="H22" s="7"/>
      <c r="I22" s="7"/>
      <c r="J22" s="7"/>
      <c r="K22" s="7"/>
      <c r="L22" s="7"/>
      <c r="M22" s="7"/>
      <c r="N22" s="7"/>
      <c r="O22" s="7"/>
      <c r="P22" s="7"/>
      <c r="Q22" s="7"/>
      <c r="R22" s="7"/>
      <c r="S22" s="7"/>
      <c r="T22" s="7"/>
      <c r="U22" s="7"/>
      <c r="V22" s="7"/>
      <c r="W22" s="7"/>
      <c r="X22" s="7"/>
      <c r="Y22" s="7"/>
      <c r="Z22" s="7"/>
    </row>
    <row r="23" spans="1:26" ht="14.25" customHeight="1" x14ac:dyDescent="0.35">
      <c r="A23" s="7"/>
      <c r="B23" s="7"/>
      <c r="C23" s="7"/>
      <c r="D23" s="7"/>
      <c r="E23" s="7"/>
      <c r="F23" s="7"/>
      <c r="G23" s="7"/>
      <c r="H23" s="7"/>
      <c r="I23" s="7"/>
      <c r="J23" s="7"/>
      <c r="K23" s="7"/>
      <c r="L23" s="7"/>
      <c r="M23" s="7"/>
      <c r="N23" s="7"/>
      <c r="O23" s="7"/>
      <c r="P23" s="7"/>
      <c r="Q23" s="7"/>
      <c r="R23" s="7"/>
      <c r="S23" s="7"/>
      <c r="T23" s="7"/>
      <c r="U23" s="7"/>
      <c r="V23" s="7"/>
      <c r="W23" s="7"/>
      <c r="X23" s="7"/>
      <c r="Y23" s="7"/>
      <c r="Z23" s="7"/>
    </row>
    <row r="24" spans="1:26" ht="14.25" customHeight="1" x14ac:dyDescent="0.35">
      <c r="A24" s="7"/>
      <c r="B24" s="7"/>
      <c r="C24" s="7"/>
      <c r="D24" s="7"/>
      <c r="E24" s="7"/>
      <c r="F24" s="7"/>
      <c r="G24" s="7"/>
      <c r="H24" s="7"/>
      <c r="I24" s="7"/>
      <c r="J24" s="7"/>
      <c r="K24" s="7"/>
      <c r="L24" s="7"/>
      <c r="M24" s="7"/>
      <c r="N24" s="7"/>
      <c r="O24" s="7"/>
      <c r="P24" s="7"/>
      <c r="Q24" s="7"/>
      <c r="R24" s="7"/>
      <c r="S24" s="7"/>
      <c r="T24" s="7"/>
      <c r="U24" s="7"/>
      <c r="V24" s="7"/>
      <c r="W24" s="7"/>
      <c r="X24" s="7"/>
      <c r="Y24" s="7"/>
      <c r="Z24" s="7"/>
    </row>
    <row r="25" spans="1:26" ht="14.25" customHeight="1" x14ac:dyDescent="0.35">
      <c r="A25" s="7"/>
      <c r="B25" s="7"/>
      <c r="C25" s="7"/>
      <c r="D25" s="7"/>
      <c r="E25" s="7"/>
      <c r="F25" s="7"/>
      <c r="G25" s="7"/>
      <c r="H25" s="7"/>
      <c r="I25" s="7"/>
      <c r="J25" s="7"/>
      <c r="K25" s="7"/>
      <c r="L25" s="7"/>
      <c r="M25" s="7"/>
      <c r="N25" s="7"/>
      <c r="O25" s="7"/>
      <c r="P25" s="7"/>
      <c r="Q25" s="7"/>
      <c r="R25" s="7"/>
      <c r="S25" s="7"/>
      <c r="T25" s="7"/>
      <c r="U25" s="7"/>
      <c r="V25" s="7"/>
      <c r="W25" s="7"/>
      <c r="X25" s="7"/>
      <c r="Y25" s="7"/>
      <c r="Z25" s="7"/>
    </row>
    <row r="26" spans="1:26" ht="14.25" customHeight="1" x14ac:dyDescent="0.35">
      <c r="A26" s="7"/>
      <c r="B26" s="7"/>
      <c r="C26" s="7"/>
      <c r="D26" s="7"/>
      <c r="E26" s="7"/>
      <c r="F26" s="7"/>
      <c r="G26" s="7"/>
      <c r="H26" s="7"/>
      <c r="I26" s="7"/>
      <c r="J26" s="7"/>
      <c r="K26" s="7"/>
      <c r="L26" s="7"/>
      <c r="M26" s="7"/>
      <c r="N26" s="7"/>
      <c r="O26" s="7"/>
      <c r="P26" s="7"/>
      <c r="Q26" s="7"/>
      <c r="R26" s="7"/>
      <c r="S26" s="7"/>
      <c r="T26" s="7"/>
      <c r="U26" s="7"/>
      <c r="V26" s="7"/>
      <c r="W26" s="7"/>
      <c r="X26" s="7"/>
      <c r="Y26" s="7"/>
      <c r="Z26" s="7"/>
    </row>
    <row r="27" spans="1:26" ht="14.25" customHeight="1" x14ac:dyDescent="0.35">
      <c r="A27" s="7"/>
      <c r="B27" s="7"/>
      <c r="C27" s="7"/>
      <c r="D27" s="7"/>
      <c r="E27" s="7"/>
      <c r="F27" s="7"/>
      <c r="G27" s="7"/>
      <c r="H27" s="7"/>
      <c r="I27" s="7"/>
      <c r="J27" s="7"/>
      <c r="K27" s="7"/>
      <c r="L27" s="7"/>
      <c r="M27" s="7"/>
      <c r="N27" s="7"/>
      <c r="O27" s="7"/>
      <c r="P27" s="7"/>
      <c r="Q27" s="7"/>
      <c r="R27" s="7"/>
      <c r="S27" s="7"/>
      <c r="T27" s="7"/>
      <c r="U27" s="7"/>
      <c r="V27" s="7"/>
      <c r="W27" s="7"/>
      <c r="X27" s="7"/>
      <c r="Y27" s="7"/>
      <c r="Z27" s="7"/>
    </row>
    <row r="28" spans="1:26" ht="14.25" customHeight="1" x14ac:dyDescent="0.35">
      <c r="A28" s="7"/>
      <c r="B28" s="7"/>
      <c r="C28" s="7"/>
      <c r="D28" s="7"/>
      <c r="E28" s="7"/>
      <c r="F28" s="7"/>
      <c r="G28" s="7"/>
      <c r="H28" s="7"/>
      <c r="I28" s="7"/>
      <c r="J28" s="7"/>
      <c r="K28" s="7"/>
      <c r="L28" s="7"/>
      <c r="M28" s="7"/>
      <c r="N28" s="7"/>
      <c r="O28" s="7"/>
      <c r="P28" s="7"/>
      <c r="Q28" s="7"/>
      <c r="R28" s="7"/>
      <c r="S28" s="7"/>
      <c r="T28" s="7"/>
      <c r="U28" s="7"/>
      <c r="V28" s="7"/>
      <c r="W28" s="7"/>
      <c r="X28" s="7"/>
      <c r="Y28" s="7"/>
      <c r="Z28" s="7"/>
    </row>
    <row r="29" spans="1:26" ht="14.25" customHeight="1" x14ac:dyDescent="0.35">
      <c r="A29" s="7"/>
      <c r="B29" s="7"/>
      <c r="C29" s="7"/>
      <c r="D29" s="7"/>
      <c r="E29" s="7"/>
      <c r="F29" s="7"/>
      <c r="G29" s="7"/>
      <c r="H29" s="7"/>
      <c r="I29" s="7"/>
      <c r="J29" s="7"/>
      <c r="K29" s="7"/>
      <c r="L29" s="7"/>
      <c r="M29" s="7"/>
      <c r="N29" s="7"/>
      <c r="O29" s="7"/>
      <c r="P29" s="7"/>
      <c r="Q29" s="7"/>
      <c r="R29" s="7"/>
      <c r="S29" s="7"/>
      <c r="T29" s="7"/>
      <c r="U29" s="7"/>
      <c r="V29" s="7"/>
      <c r="W29" s="7"/>
      <c r="X29" s="7"/>
      <c r="Y29" s="7"/>
      <c r="Z29" s="7"/>
    </row>
    <row r="30" spans="1:26" ht="14.25" customHeight="1" x14ac:dyDescent="0.35">
      <c r="A30" s="7"/>
      <c r="B30" s="7"/>
      <c r="C30" s="7"/>
      <c r="D30" s="7"/>
      <c r="E30" s="7"/>
      <c r="F30" s="7"/>
      <c r="G30" s="7"/>
      <c r="H30" s="7"/>
      <c r="I30" s="7"/>
      <c r="J30" s="7"/>
      <c r="K30" s="7"/>
      <c r="L30" s="7"/>
      <c r="M30" s="7"/>
      <c r="N30" s="7"/>
      <c r="O30" s="7"/>
      <c r="P30" s="7"/>
      <c r="Q30" s="7"/>
      <c r="R30" s="7"/>
      <c r="S30" s="7"/>
      <c r="T30" s="7"/>
      <c r="U30" s="7"/>
      <c r="V30" s="7"/>
      <c r="W30" s="7"/>
      <c r="X30" s="7"/>
      <c r="Y30" s="7"/>
      <c r="Z30" s="7"/>
    </row>
    <row r="31" spans="1:26" ht="14.25" customHeight="1" x14ac:dyDescent="0.35">
      <c r="A31" s="7"/>
      <c r="B31" s="7"/>
      <c r="C31" s="7"/>
      <c r="D31" s="7"/>
      <c r="E31" s="7"/>
      <c r="F31" s="7"/>
      <c r="G31" s="7"/>
      <c r="H31" s="7"/>
      <c r="I31" s="7"/>
      <c r="J31" s="7"/>
      <c r="K31" s="7"/>
      <c r="L31" s="7"/>
      <c r="M31" s="7"/>
      <c r="N31" s="7"/>
      <c r="O31" s="7"/>
      <c r="P31" s="7"/>
      <c r="Q31" s="7"/>
      <c r="R31" s="7"/>
      <c r="S31" s="7"/>
      <c r="T31" s="7"/>
      <c r="U31" s="7"/>
      <c r="V31" s="7"/>
      <c r="W31" s="7"/>
      <c r="X31" s="7"/>
      <c r="Y31" s="7"/>
      <c r="Z31" s="7"/>
    </row>
    <row r="32" spans="1:26" ht="14.25" customHeight="1" x14ac:dyDescent="0.35">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ht="14.25" customHeight="1" x14ac:dyDescent="0.35">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ht="14.25" customHeight="1" x14ac:dyDescent="0.35">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ht="14.25" customHeight="1" x14ac:dyDescent="0.35">
      <c r="A35" s="7"/>
      <c r="B35" s="7"/>
      <c r="C35" s="7"/>
      <c r="D35" s="7"/>
      <c r="E35" s="7"/>
      <c r="F35" s="7"/>
      <c r="G35" s="7"/>
      <c r="H35" s="7"/>
      <c r="I35" s="7"/>
      <c r="J35" s="7"/>
      <c r="K35" s="7"/>
      <c r="L35" s="7"/>
      <c r="M35" s="7"/>
      <c r="N35" s="7"/>
      <c r="O35" s="7"/>
      <c r="P35" s="7"/>
      <c r="Q35" s="7"/>
      <c r="R35" s="7"/>
      <c r="S35" s="7"/>
      <c r="T35" s="7"/>
      <c r="U35" s="7"/>
      <c r="V35" s="7"/>
      <c r="W35" s="7"/>
      <c r="X35" s="7"/>
      <c r="Y35" s="7"/>
      <c r="Z35" s="7"/>
    </row>
    <row r="36" spans="1:26" ht="14.25" customHeight="1" x14ac:dyDescent="0.35">
      <c r="A36" s="7"/>
      <c r="B36" s="7"/>
      <c r="C36" s="7"/>
      <c r="D36" s="7"/>
      <c r="E36" s="7"/>
      <c r="F36" s="7"/>
      <c r="G36" s="7"/>
      <c r="H36" s="7"/>
      <c r="I36" s="7"/>
      <c r="J36" s="7"/>
      <c r="K36" s="7"/>
      <c r="L36" s="7"/>
      <c r="M36" s="7"/>
      <c r="N36" s="7"/>
      <c r="O36" s="7"/>
      <c r="P36" s="7"/>
      <c r="Q36" s="7"/>
      <c r="R36" s="7"/>
      <c r="S36" s="7"/>
      <c r="T36" s="7"/>
      <c r="U36" s="7"/>
      <c r="V36" s="7"/>
      <c r="W36" s="7"/>
      <c r="X36" s="7"/>
      <c r="Y36" s="7"/>
      <c r="Z36" s="7"/>
    </row>
    <row r="37" spans="1:26" ht="14.25" customHeight="1" x14ac:dyDescent="0.35">
      <c r="A37" s="7"/>
      <c r="B37" s="7"/>
      <c r="C37" s="7"/>
      <c r="D37" s="7"/>
      <c r="E37" s="7"/>
      <c r="F37" s="7"/>
      <c r="G37" s="7"/>
      <c r="H37" s="7"/>
      <c r="I37" s="7"/>
      <c r="J37" s="7"/>
      <c r="K37" s="7"/>
      <c r="L37" s="7"/>
      <c r="M37" s="7"/>
      <c r="N37" s="7"/>
      <c r="O37" s="7"/>
      <c r="P37" s="7"/>
      <c r="Q37" s="7"/>
      <c r="R37" s="7"/>
      <c r="S37" s="7"/>
      <c r="T37" s="7"/>
      <c r="U37" s="7"/>
      <c r="V37" s="7"/>
      <c r="W37" s="7"/>
      <c r="X37" s="7"/>
      <c r="Y37" s="7"/>
      <c r="Z37" s="7"/>
    </row>
    <row r="38" spans="1:26" ht="14.25" customHeight="1" x14ac:dyDescent="0.35">
      <c r="A38" s="7"/>
      <c r="B38" s="7"/>
      <c r="C38" s="7"/>
      <c r="D38" s="7"/>
      <c r="E38" s="7"/>
      <c r="F38" s="7"/>
      <c r="G38" s="7"/>
      <c r="H38" s="7"/>
      <c r="I38" s="7"/>
      <c r="J38" s="7"/>
      <c r="K38" s="7"/>
      <c r="L38" s="7"/>
      <c r="M38" s="7"/>
      <c r="N38" s="7"/>
      <c r="O38" s="7"/>
      <c r="P38" s="7"/>
      <c r="Q38" s="7"/>
      <c r="R38" s="7"/>
      <c r="S38" s="7"/>
      <c r="T38" s="7"/>
      <c r="U38" s="7"/>
      <c r="V38" s="7"/>
      <c r="W38" s="7"/>
      <c r="X38" s="7"/>
      <c r="Y38" s="7"/>
      <c r="Z38" s="7"/>
    </row>
    <row r="39" spans="1:26" ht="14.25" customHeight="1" x14ac:dyDescent="0.35">
      <c r="A39" s="7"/>
      <c r="B39" s="7"/>
      <c r="C39" s="7"/>
      <c r="D39" s="7"/>
      <c r="E39" s="7"/>
      <c r="F39" s="7"/>
      <c r="G39" s="7"/>
      <c r="H39" s="7"/>
      <c r="I39" s="7"/>
      <c r="J39" s="7"/>
      <c r="K39" s="7"/>
      <c r="L39" s="7"/>
      <c r="M39" s="7"/>
      <c r="N39" s="7"/>
      <c r="O39" s="7"/>
      <c r="P39" s="7"/>
      <c r="Q39" s="7"/>
      <c r="R39" s="7"/>
      <c r="S39" s="7"/>
      <c r="T39" s="7"/>
      <c r="U39" s="7"/>
      <c r="V39" s="7"/>
      <c r="W39" s="7"/>
      <c r="X39" s="7"/>
      <c r="Y39" s="7"/>
      <c r="Z39" s="7"/>
    </row>
    <row r="40" spans="1:26" ht="14.25" customHeight="1" x14ac:dyDescent="0.35">
      <c r="A40" s="7"/>
      <c r="B40" s="7"/>
      <c r="C40" s="7"/>
      <c r="D40" s="7"/>
      <c r="E40" s="7"/>
      <c r="F40" s="7"/>
      <c r="G40" s="7"/>
      <c r="H40" s="7"/>
      <c r="I40" s="7"/>
      <c r="J40" s="7"/>
      <c r="K40" s="7"/>
      <c r="L40" s="7"/>
      <c r="M40" s="7"/>
      <c r="N40" s="7"/>
      <c r="O40" s="7"/>
      <c r="P40" s="7"/>
      <c r="Q40" s="7"/>
      <c r="R40" s="7"/>
      <c r="S40" s="7"/>
      <c r="T40" s="7"/>
      <c r="U40" s="7"/>
      <c r="V40" s="7"/>
      <c r="W40" s="7"/>
      <c r="X40" s="7"/>
      <c r="Y40" s="7"/>
      <c r="Z40" s="7"/>
    </row>
    <row r="41" spans="1:26" ht="14.25" customHeight="1" x14ac:dyDescent="0.35">
      <c r="A41" s="7"/>
      <c r="B41" s="7"/>
      <c r="C41" s="7"/>
      <c r="D41" s="7"/>
      <c r="E41" s="7"/>
      <c r="F41" s="7"/>
      <c r="G41" s="7"/>
      <c r="H41" s="7"/>
      <c r="I41" s="7"/>
      <c r="J41" s="7"/>
      <c r="K41" s="7"/>
      <c r="L41" s="7"/>
      <c r="M41" s="7"/>
      <c r="N41" s="7"/>
      <c r="O41" s="7"/>
      <c r="P41" s="7"/>
      <c r="Q41" s="7"/>
      <c r="R41" s="7"/>
      <c r="S41" s="7"/>
      <c r="T41" s="7"/>
      <c r="U41" s="7"/>
      <c r="V41" s="7"/>
      <c r="W41" s="7"/>
      <c r="X41" s="7"/>
      <c r="Y41" s="7"/>
      <c r="Z41" s="7"/>
    </row>
    <row r="42" spans="1:26" ht="14.25" customHeight="1" x14ac:dyDescent="0.35">
      <c r="A42" s="7"/>
      <c r="B42" s="7"/>
      <c r="C42" s="7"/>
      <c r="D42" s="7"/>
      <c r="E42" s="7"/>
      <c r="F42" s="7"/>
      <c r="G42" s="7"/>
      <c r="H42" s="7"/>
      <c r="I42" s="7"/>
      <c r="J42" s="7"/>
      <c r="K42" s="7"/>
      <c r="L42" s="7"/>
      <c r="M42" s="7"/>
      <c r="N42" s="7"/>
      <c r="O42" s="7"/>
      <c r="P42" s="7"/>
      <c r="Q42" s="7"/>
      <c r="R42" s="7"/>
      <c r="S42" s="7"/>
      <c r="T42" s="7"/>
      <c r="U42" s="7"/>
      <c r="V42" s="7"/>
      <c r="W42" s="7"/>
      <c r="X42" s="7"/>
      <c r="Y42" s="7"/>
      <c r="Z42" s="7"/>
    </row>
    <row r="43" spans="1:26" ht="14.25" customHeight="1" x14ac:dyDescent="0.35">
      <c r="A43" s="7"/>
      <c r="B43" s="7"/>
      <c r="C43" s="7"/>
      <c r="D43" s="7"/>
      <c r="E43" s="7"/>
      <c r="F43" s="7"/>
      <c r="G43" s="7"/>
      <c r="H43" s="7"/>
      <c r="I43" s="7"/>
      <c r="J43" s="7"/>
      <c r="K43" s="7"/>
      <c r="L43" s="7"/>
      <c r="M43" s="7"/>
      <c r="N43" s="7"/>
      <c r="O43" s="7"/>
      <c r="P43" s="7"/>
      <c r="Q43" s="7"/>
      <c r="R43" s="7"/>
      <c r="S43" s="7"/>
      <c r="T43" s="7"/>
      <c r="U43" s="7"/>
      <c r="V43" s="7"/>
      <c r="W43" s="7"/>
      <c r="X43" s="7"/>
      <c r="Y43" s="7"/>
      <c r="Z43" s="7"/>
    </row>
    <row r="44" spans="1:26" ht="14.25" customHeight="1" x14ac:dyDescent="0.35">
      <c r="A44" s="7"/>
      <c r="B44" s="7"/>
      <c r="C44" s="7"/>
      <c r="D44" s="7"/>
      <c r="E44" s="7"/>
      <c r="F44" s="7"/>
      <c r="G44" s="7"/>
      <c r="H44" s="7"/>
      <c r="I44" s="7"/>
      <c r="J44" s="7"/>
      <c r="K44" s="7"/>
      <c r="L44" s="7"/>
      <c r="M44" s="7"/>
      <c r="N44" s="7"/>
      <c r="O44" s="7"/>
      <c r="P44" s="7"/>
      <c r="Q44" s="7"/>
      <c r="R44" s="7"/>
      <c r="S44" s="7"/>
      <c r="T44" s="7"/>
      <c r="U44" s="7"/>
      <c r="V44" s="7"/>
      <c r="W44" s="7"/>
      <c r="X44" s="7"/>
      <c r="Y44" s="7"/>
      <c r="Z44" s="7"/>
    </row>
    <row r="45" spans="1:26" ht="14.25" customHeight="1" x14ac:dyDescent="0.35">
      <c r="A45" s="7"/>
      <c r="B45" s="7"/>
      <c r="C45" s="7"/>
      <c r="D45" s="7"/>
      <c r="E45" s="7"/>
      <c r="F45" s="7"/>
      <c r="G45" s="7"/>
      <c r="H45" s="7"/>
      <c r="I45" s="7"/>
      <c r="J45" s="7"/>
      <c r="K45" s="7"/>
      <c r="L45" s="7"/>
      <c r="M45" s="7"/>
      <c r="N45" s="7"/>
      <c r="O45" s="7"/>
      <c r="P45" s="7"/>
      <c r="Q45" s="7"/>
      <c r="R45" s="7"/>
      <c r="S45" s="7"/>
      <c r="T45" s="7"/>
      <c r="U45" s="7"/>
      <c r="V45" s="7"/>
      <c r="W45" s="7"/>
      <c r="X45" s="7"/>
      <c r="Y45" s="7"/>
      <c r="Z45" s="7"/>
    </row>
    <row r="46" spans="1:26" ht="14.25" customHeight="1" x14ac:dyDescent="0.35">
      <c r="A46" s="7"/>
      <c r="B46" s="7"/>
      <c r="C46" s="7"/>
      <c r="D46" s="7"/>
      <c r="E46" s="7"/>
      <c r="F46" s="7"/>
      <c r="G46" s="7"/>
      <c r="H46" s="7"/>
      <c r="I46" s="7"/>
      <c r="J46" s="7"/>
      <c r="K46" s="7"/>
      <c r="L46" s="7"/>
      <c r="M46" s="7"/>
      <c r="N46" s="7"/>
      <c r="O46" s="7"/>
      <c r="P46" s="7"/>
      <c r="Q46" s="7"/>
      <c r="R46" s="7"/>
      <c r="S46" s="7"/>
      <c r="T46" s="7"/>
      <c r="U46" s="7"/>
      <c r="V46" s="7"/>
      <c r="W46" s="7"/>
      <c r="X46" s="7"/>
      <c r="Y46" s="7"/>
      <c r="Z46" s="7"/>
    </row>
    <row r="47" spans="1:26" ht="14.25" customHeight="1" x14ac:dyDescent="0.35">
      <c r="A47" s="7"/>
      <c r="B47" s="7"/>
      <c r="C47" s="7"/>
      <c r="D47" s="7"/>
      <c r="E47" s="7"/>
      <c r="F47" s="7"/>
      <c r="G47" s="7"/>
      <c r="H47" s="7"/>
      <c r="I47" s="7"/>
      <c r="J47" s="7"/>
      <c r="K47" s="7"/>
      <c r="L47" s="7"/>
      <c r="M47" s="7"/>
      <c r="N47" s="7"/>
      <c r="O47" s="7"/>
      <c r="P47" s="7"/>
      <c r="Q47" s="7"/>
      <c r="R47" s="7"/>
      <c r="S47" s="7"/>
      <c r="T47" s="7"/>
      <c r="U47" s="7"/>
      <c r="V47" s="7"/>
      <c r="W47" s="7"/>
      <c r="X47" s="7"/>
      <c r="Y47" s="7"/>
      <c r="Z47" s="7"/>
    </row>
    <row r="48" spans="1:26" ht="14.25" customHeight="1" x14ac:dyDescent="0.35">
      <c r="A48" s="7"/>
      <c r="B48" s="7"/>
      <c r="C48" s="7"/>
      <c r="D48" s="7"/>
      <c r="E48" s="7"/>
      <c r="F48" s="7"/>
      <c r="G48" s="7"/>
      <c r="H48" s="7"/>
      <c r="I48" s="7"/>
      <c r="J48" s="7"/>
      <c r="K48" s="7"/>
      <c r="L48" s="7"/>
      <c r="M48" s="7"/>
      <c r="N48" s="7"/>
      <c r="O48" s="7"/>
      <c r="P48" s="7"/>
      <c r="Q48" s="7"/>
      <c r="R48" s="7"/>
      <c r="S48" s="7"/>
      <c r="T48" s="7"/>
      <c r="U48" s="7"/>
      <c r="V48" s="7"/>
      <c r="W48" s="7"/>
      <c r="X48" s="7"/>
      <c r="Y48" s="7"/>
      <c r="Z48" s="7"/>
    </row>
    <row r="49" spans="1:26" ht="14.25" customHeight="1" x14ac:dyDescent="0.35">
      <c r="A49" s="7"/>
      <c r="B49" s="7"/>
      <c r="C49" s="7"/>
      <c r="D49" s="7"/>
      <c r="E49" s="7"/>
      <c r="F49" s="7"/>
      <c r="G49" s="7"/>
      <c r="H49" s="7"/>
      <c r="I49" s="7"/>
      <c r="J49" s="7"/>
      <c r="K49" s="7"/>
      <c r="L49" s="7"/>
      <c r="M49" s="7"/>
      <c r="N49" s="7"/>
      <c r="O49" s="7"/>
      <c r="P49" s="7"/>
      <c r="Q49" s="7"/>
      <c r="R49" s="7"/>
      <c r="S49" s="7"/>
      <c r="T49" s="7"/>
      <c r="U49" s="7"/>
      <c r="V49" s="7"/>
      <c r="W49" s="7"/>
      <c r="X49" s="7"/>
      <c r="Y49" s="7"/>
      <c r="Z49" s="7"/>
    </row>
    <row r="50" spans="1:26" ht="14.25" customHeight="1" x14ac:dyDescent="0.35">
      <c r="A50" s="7"/>
      <c r="B50" s="7"/>
      <c r="C50" s="7"/>
      <c r="D50" s="7"/>
      <c r="E50" s="7"/>
      <c r="F50" s="7"/>
      <c r="G50" s="7"/>
      <c r="H50" s="7"/>
      <c r="I50" s="7"/>
      <c r="J50" s="7"/>
      <c r="K50" s="7"/>
      <c r="L50" s="7"/>
      <c r="M50" s="7"/>
      <c r="N50" s="7"/>
      <c r="O50" s="7"/>
      <c r="P50" s="7"/>
      <c r="Q50" s="7"/>
      <c r="R50" s="7"/>
      <c r="S50" s="7"/>
      <c r="T50" s="7"/>
      <c r="U50" s="7"/>
      <c r="V50" s="7"/>
      <c r="W50" s="7"/>
      <c r="X50" s="7"/>
      <c r="Y50" s="7"/>
      <c r="Z50" s="7"/>
    </row>
    <row r="51" spans="1:26" ht="14.25" customHeight="1" x14ac:dyDescent="0.35">
      <c r="A51" s="7"/>
      <c r="B51" s="7"/>
      <c r="C51" s="7"/>
      <c r="D51" s="7"/>
      <c r="E51" s="7"/>
      <c r="F51" s="7"/>
      <c r="G51" s="7"/>
      <c r="H51" s="7"/>
      <c r="I51" s="7"/>
      <c r="J51" s="7"/>
      <c r="K51" s="7"/>
      <c r="L51" s="7"/>
      <c r="M51" s="7"/>
      <c r="N51" s="7"/>
      <c r="O51" s="7"/>
      <c r="P51" s="7"/>
      <c r="Q51" s="7"/>
      <c r="R51" s="7"/>
      <c r="S51" s="7"/>
      <c r="T51" s="7"/>
      <c r="U51" s="7"/>
      <c r="V51" s="7"/>
      <c r="W51" s="7"/>
      <c r="X51" s="7"/>
      <c r="Y51" s="7"/>
      <c r="Z51" s="7"/>
    </row>
    <row r="52" spans="1:26" ht="14.25" customHeight="1" x14ac:dyDescent="0.35">
      <c r="A52" s="7"/>
      <c r="B52" s="7"/>
      <c r="C52" s="7"/>
      <c r="D52" s="7"/>
      <c r="E52" s="7"/>
      <c r="F52" s="7"/>
      <c r="G52" s="7"/>
      <c r="H52" s="7"/>
      <c r="I52" s="7"/>
      <c r="J52" s="7"/>
      <c r="K52" s="7"/>
      <c r="L52" s="7"/>
      <c r="M52" s="7"/>
      <c r="N52" s="7"/>
      <c r="O52" s="7"/>
      <c r="P52" s="7"/>
      <c r="Q52" s="7"/>
      <c r="R52" s="7"/>
      <c r="S52" s="7"/>
      <c r="T52" s="7"/>
      <c r="U52" s="7"/>
      <c r="V52" s="7"/>
      <c r="W52" s="7"/>
      <c r="X52" s="7"/>
      <c r="Y52" s="7"/>
      <c r="Z52" s="7"/>
    </row>
    <row r="53" spans="1:26" ht="14.25" customHeight="1" x14ac:dyDescent="0.35">
      <c r="A53" s="7"/>
      <c r="B53" s="7"/>
      <c r="C53" s="7"/>
      <c r="D53" s="7"/>
      <c r="E53" s="7"/>
      <c r="F53" s="7"/>
      <c r="G53" s="7"/>
      <c r="H53" s="7"/>
      <c r="I53" s="7"/>
      <c r="J53" s="7"/>
      <c r="K53" s="7"/>
      <c r="L53" s="7"/>
      <c r="M53" s="7"/>
      <c r="N53" s="7"/>
      <c r="O53" s="7"/>
      <c r="P53" s="7"/>
      <c r="Q53" s="7"/>
      <c r="R53" s="7"/>
      <c r="S53" s="7"/>
      <c r="T53" s="7"/>
      <c r="U53" s="7"/>
      <c r="V53" s="7"/>
      <c r="W53" s="7"/>
      <c r="X53" s="7"/>
      <c r="Y53" s="7"/>
      <c r="Z53" s="7"/>
    </row>
    <row r="54" spans="1:26" ht="14.25" customHeight="1" x14ac:dyDescent="0.35">
      <c r="A54" s="7"/>
      <c r="B54" s="7"/>
      <c r="C54" s="7"/>
      <c r="D54" s="7"/>
      <c r="E54" s="7"/>
      <c r="F54" s="7"/>
      <c r="G54" s="7"/>
      <c r="H54" s="7"/>
      <c r="I54" s="7"/>
      <c r="J54" s="7"/>
      <c r="K54" s="7"/>
      <c r="L54" s="7"/>
      <c r="M54" s="7"/>
      <c r="N54" s="7"/>
      <c r="O54" s="7"/>
      <c r="P54" s="7"/>
      <c r="Q54" s="7"/>
      <c r="R54" s="7"/>
      <c r="S54" s="7"/>
      <c r="T54" s="7"/>
      <c r="U54" s="7"/>
      <c r="V54" s="7"/>
      <c r="W54" s="7"/>
      <c r="X54" s="7"/>
      <c r="Y54" s="7"/>
      <c r="Z54" s="7"/>
    </row>
    <row r="55" spans="1:26" ht="14.25" customHeight="1" x14ac:dyDescent="0.35">
      <c r="A55" s="7"/>
      <c r="B55" s="7"/>
      <c r="C55" s="7"/>
      <c r="D55" s="7"/>
      <c r="E55" s="7"/>
      <c r="F55" s="7"/>
      <c r="G55" s="7"/>
      <c r="H55" s="7"/>
      <c r="I55" s="7"/>
      <c r="J55" s="7"/>
      <c r="K55" s="7"/>
      <c r="L55" s="7"/>
      <c r="M55" s="7"/>
      <c r="N55" s="7"/>
      <c r="O55" s="7"/>
      <c r="P55" s="7"/>
      <c r="Q55" s="7"/>
      <c r="R55" s="7"/>
      <c r="S55" s="7"/>
      <c r="T55" s="7"/>
      <c r="U55" s="7"/>
      <c r="V55" s="7"/>
      <c r="W55" s="7"/>
      <c r="X55" s="7"/>
      <c r="Y55" s="7"/>
      <c r="Z55" s="7"/>
    </row>
    <row r="56" spans="1:26" ht="14.25" customHeight="1" x14ac:dyDescent="0.35">
      <c r="A56" s="7"/>
      <c r="B56" s="7"/>
      <c r="C56" s="7"/>
      <c r="D56" s="7"/>
      <c r="E56" s="7"/>
      <c r="F56" s="7"/>
      <c r="G56" s="7"/>
      <c r="H56" s="7"/>
      <c r="I56" s="7"/>
      <c r="J56" s="7"/>
      <c r="K56" s="7"/>
      <c r="L56" s="7"/>
      <c r="M56" s="7"/>
      <c r="N56" s="7"/>
      <c r="O56" s="7"/>
      <c r="P56" s="7"/>
      <c r="Q56" s="7"/>
      <c r="R56" s="7"/>
      <c r="S56" s="7"/>
      <c r="T56" s="7"/>
      <c r="U56" s="7"/>
      <c r="V56" s="7"/>
      <c r="W56" s="7"/>
      <c r="X56" s="7"/>
      <c r="Y56" s="7"/>
      <c r="Z56" s="7"/>
    </row>
    <row r="57" spans="1:26" ht="14.25" customHeight="1" x14ac:dyDescent="0.35">
      <c r="A57" s="7"/>
      <c r="B57" s="7"/>
      <c r="C57" s="7"/>
      <c r="D57" s="7"/>
      <c r="E57" s="7"/>
      <c r="F57" s="7"/>
      <c r="G57" s="7"/>
      <c r="H57" s="7"/>
      <c r="I57" s="7"/>
      <c r="J57" s="7"/>
      <c r="K57" s="7"/>
      <c r="L57" s="7"/>
      <c r="M57" s="7"/>
      <c r="N57" s="7"/>
      <c r="O57" s="7"/>
      <c r="P57" s="7"/>
      <c r="Q57" s="7"/>
      <c r="R57" s="7"/>
      <c r="S57" s="7"/>
      <c r="T57" s="7"/>
      <c r="U57" s="7"/>
      <c r="V57" s="7"/>
      <c r="W57" s="7"/>
      <c r="X57" s="7"/>
      <c r="Y57" s="7"/>
      <c r="Z57" s="7"/>
    </row>
    <row r="58" spans="1:26" ht="14.25" customHeight="1" x14ac:dyDescent="0.35">
      <c r="A58" s="7"/>
      <c r="B58" s="7"/>
      <c r="C58" s="7"/>
      <c r="D58" s="7"/>
      <c r="E58" s="7"/>
      <c r="F58" s="7"/>
      <c r="G58" s="7"/>
      <c r="H58" s="7"/>
      <c r="I58" s="7"/>
      <c r="J58" s="7"/>
      <c r="K58" s="7"/>
      <c r="L58" s="7"/>
      <c r="M58" s="7"/>
      <c r="N58" s="7"/>
      <c r="O58" s="7"/>
      <c r="P58" s="7"/>
      <c r="Q58" s="7"/>
      <c r="R58" s="7"/>
      <c r="S58" s="7"/>
      <c r="T58" s="7"/>
      <c r="U58" s="7"/>
      <c r="V58" s="7"/>
      <c r="W58" s="7"/>
      <c r="X58" s="7"/>
      <c r="Y58" s="7"/>
      <c r="Z58" s="7"/>
    </row>
    <row r="59" spans="1:26" ht="14.25" customHeight="1" x14ac:dyDescent="0.35">
      <c r="A59" s="7"/>
      <c r="B59" s="7"/>
      <c r="C59" s="7"/>
      <c r="D59" s="7"/>
      <c r="E59" s="7"/>
      <c r="F59" s="7"/>
      <c r="G59" s="7"/>
      <c r="H59" s="7"/>
      <c r="I59" s="7"/>
      <c r="J59" s="7"/>
      <c r="K59" s="7"/>
      <c r="L59" s="7"/>
      <c r="M59" s="7"/>
      <c r="N59" s="7"/>
      <c r="O59" s="7"/>
      <c r="P59" s="7"/>
      <c r="Q59" s="7"/>
      <c r="R59" s="7"/>
      <c r="S59" s="7"/>
      <c r="T59" s="7"/>
      <c r="U59" s="7"/>
      <c r="V59" s="7"/>
      <c r="W59" s="7"/>
      <c r="X59" s="7"/>
      <c r="Y59" s="7"/>
      <c r="Z59" s="7"/>
    </row>
    <row r="60" spans="1:26" ht="14.25" customHeight="1" x14ac:dyDescent="0.35">
      <c r="A60" s="7"/>
      <c r="B60" s="7"/>
      <c r="C60" s="7"/>
      <c r="D60" s="7"/>
      <c r="E60" s="7"/>
      <c r="F60" s="7"/>
      <c r="G60" s="7"/>
      <c r="H60" s="7"/>
      <c r="I60" s="7"/>
      <c r="J60" s="7"/>
      <c r="K60" s="7"/>
      <c r="L60" s="7"/>
      <c r="M60" s="7"/>
      <c r="N60" s="7"/>
      <c r="O60" s="7"/>
      <c r="P60" s="7"/>
      <c r="Q60" s="7"/>
      <c r="R60" s="7"/>
      <c r="S60" s="7"/>
      <c r="T60" s="7"/>
      <c r="U60" s="7"/>
      <c r="V60" s="7"/>
      <c r="W60" s="7"/>
      <c r="X60" s="7"/>
      <c r="Y60" s="7"/>
      <c r="Z60" s="7"/>
    </row>
    <row r="61" spans="1:26" ht="14.25" customHeight="1" x14ac:dyDescent="0.35">
      <c r="A61" s="7"/>
      <c r="B61" s="7"/>
      <c r="C61" s="7"/>
      <c r="D61" s="7"/>
      <c r="E61" s="7"/>
      <c r="F61" s="7"/>
      <c r="G61" s="7"/>
      <c r="H61" s="7"/>
      <c r="I61" s="7"/>
      <c r="J61" s="7"/>
      <c r="K61" s="7"/>
      <c r="L61" s="7"/>
      <c r="M61" s="7"/>
      <c r="N61" s="7"/>
      <c r="O61" s="7"/>
      <c r="P61" s="7"/>
      <c r="Q61" s="7"/>
      <c r="R61" s="7"/>
      <c r="S61" s="7"/>
      <c r="T61" s="7"/>
      <c r="U61" s="7"/>
      <c r="V61" s="7"/>
      <c r="W61" s="7"/>
      <c r="X61" s="7"/>
      <c r="Y61" s="7"/>
      <c r="Z61" s="7"/>
    </row>
    <row r="62" spans="1:26" ht="14.25" customHeight="1" x14ac:dyDescent="0.35">
      <c r="A62" s="7"/>
      <c r="B62" s="7"/>
      <c r="C62" s="7"/>
      <c r="D62" s="7"/>
      <c r="E62" s="7"/>
      <c r="F62" s="7"/>
      <c r="G62" s="7"/>
      <c r="H62" s="7"/>
      <c r="I62" s="7"/>
      <c r="J62" s="7"/>
      <c r="K62" s="7"/>
      <c r="L62" s="7"/>
      <c r="M62" s="7"/>
      <c r="N62" s="7"/>
      <c r="O62" s="7"/>
      <c r="P62" s="7"/>
      <c r="Q62" s="7"/>
      <c r="R62" s="7"/>
      <c r="S62" s="7"/>
      <c r="T62" s="7"/>
      <c r="U62" s="7"/>
      <c r="V62" s="7"/>
      <c r="W62" s="7"/>
      <c r="X62" s="7"/>
      <c r="Y62" s="7"/>
      <c r="Z62" s="7"/>
    </row>
    <row r="63" spans="1:26" ht="14.25" customHeight="1" x14ac:dyDescent="0.35">
      <c r="A63" s="7"/>
      <c r="B63" s="7"/>
      <c r="C63" s="7"/>
      <c r="D63" s="7"/>
      <c r="E63" s="7"/>
      <c r="F63" s="7"/>
      <c r="G63" s="7"/>
      <c r="H63" s="7"/>
      <c r="I63" s="7"/>
      <c r="J63" s="7"/>
      <c r="K63" s="7"/>
      <c r="L63" s="7"/>
      <c r="M63" s="7"/>
      <c r="N63" s="7"/>
      <c r="O63" s="7"/>
      <c r="P63" s="7"/>
      <c r="Q63" s="7"/>
      <c r="R63" s="7"/>
      <c r="S63" s="7"/>
      <c r="T63" s="7"/>
      <c r="U63" s="7"/>
      <c r="V63" s="7"/>
      <c r="W63" s="7"/>
      <c r="X63" s="7"/>
      <c r="Y63" s="7"/>
      <c r="Z63" s="7"/>
    </row>
    <row r="64" spans="1:26" ht="14.25" customHeight="1" x14ac:dyDescent="0.35">
      <c r="A64" s="7"/>
      <c r="B64" s="7"/>
      <c r="C64" s="7"/>
      <c r="D64" s="7"/>
      <c r="E64" s="7"/>
      <c r="F64" s="7"/>
      <c r="G64" s="7"/>
      <c r="H64" s="7"/>
      <c r="I64" s="7"/>
      <c r="J64" s="7"/>
      <c r="K64" s="7"/>
      <c r="L64" s="7"/>
      <c r="M64" s="7"/>
      <c r="N64" s="7"/>
      <c r="O64" s="7"/>
      <c r="P64" s="7"/>
      <c r="Q64" s="7"/>
      <c r="R64" s="7"/>
      <c r="S64" s="7"/>
      <c r="T64" s="7"/>
      <c r="U64" s="7"/>
      <c r="V64" s="7"/>
      <c r="W64" s="7"/>
      <c r="X64" s="7"/>
      <c r="Y64" s="7"/>
      <c r="Z64" s="7"/>
    </row>
    <row r="65" spans="1:26" ht="14.25" customHeight="1" x14ac:dyDescent="0.35">
      <c r="A65" s="7"/>
      <c r="B65" s="7"/>
      <c r="C65" s="7"/>
      <c r="D65" s="7"/>
      <c r="E65" s="7"/>
      <c r="F65" s="7"/>
      <c r="G65" s="7"/>
      <c r="H65" s="7"/>
      <c r="I65" s="7"/>
      <c r="J65" s="7"/>
      <c r="K65" s="7"/>
      <c r="L65" s="7"/>
      <c r="M65" s="7"/>
      <c r="N65" s="7"/>
      <c r="O65" s="7"/>
      <c r="P65" s="7"/>
      <c r="Q65" s="7"/>
      <c r="R65" s="7"/>
      <c r="S65" s="7"/>
      <c r="T65" s="7"/>
      <c r="U65" s="7"/>
      <c r="V65" s="7"/>
      <c r="W65" s="7"/>
      <c r="X65" s="7"/>
      <c r="Y65" s="7"/>
      <c r="Z65" s="7"/>
    </row>
    <row r="66" spans="1:26" ht="14.25" customHeight="1" x14ac:dyDescent="0.35">
      <c r="A66" s="7"/>
      <c r="B66" s="7"/>
      <c r="C66" s="7"/>
      <c r="D66" s="7"/>
      <c r="E66" s="7"/>
      <c r="F66" s="7"/>
      <c r="G66" s="7"/>
      <c r="H66" s="7"/>
      <c r="I66" s="7"/>
      <c r="J66" s="7"/>
      <c r="K66" s="7"/>
      <c r="L66" s="7"/>
      <c r="M66" s="7"/>
      <c r="N66" s="7"/>
      <c r="O66" s="7"/>
      <c r="P66" s="7"/>
      <c r="Q66" s="7"/>
      <c r="R66" s="7"/>
      <c r="S66" s="7"/>
      <c r="T66" s="7"/>
      <c r="U66" s="7"/>
      <c r="V66" s="7"/>
      <c r="W66" s="7"/>
      <c r="X66" s="7"/>
      <c r="Y66" s="7"/>
      <c r="Z66" s="7"/>
    </row>
    <row r="67" spans="1:26" ht="14.25" customHeight="1" x14ac:dyDescent="0.35">
      <c r="A67" s="7"/>
      <c r="B67" s="7"/>
      <c r="C67" s="7"/>
      <c r="D67" s="7"/>
      <c r="E67" s="7"/>
      <c r="F67" s="7"/>
      <c r="G67" s="7"/>
      <c r="H67" s="7"/>
      <c r="I67" s="7"/>
      <c r="J67" s="7"/>
      <c r="K67" s="7"/>
      <c r="L67" s="7"/>
      <c r="M67" s="7"/>
      <c r="N67" s="7"/>
      <c r="O67" s="7"/>
      <c r="P67" s="7"/>
      <c r="Q67" s="7"/>
      <c r="R67" s="7"/>
      <c r="S67" s="7"/>
      <c r="T67" s="7"/>
      <c r="U67" s="7"/>
      <c r="V67" s="7"/>
      <c r="W67" s="7"/>
      <c r="X67" s="7"/>
      <c r="Y67" s="7"/>
      <c r="Z67" s="7"/>
    </row>
    <row r="68" spans="1:26" ht="14.25" customHeight="1" x14ac:dyDescent="0.35">
      <c r="A68" s="7"/>
      <c r="B68" s="7"/>
      <c r="C68" s="7"/>
      <c r="D68" s="7"/>
      <c r="E68" s="7"/>
      <c r="F68" s="7"/>
      <c r="G68" s="7"/>
      <c r="H68" s="7"/>
      <c r="I68" s="7"/>
      <c r="J68" s="7"/>
      <c r="K68" s="7"/>
      <c r="L68" s="7"/>
      <c r="M68" s="7"/>
      <c r="N68" s="7"/>
      <c r="O68" s="7"/>
      <c r="P68" s="7"/>
      <c r="Q68" s="7"/>
      <c r="R68" s="7"/>
      <c r="S68" s="7"/>
      <c r="T68" s="7"/>
      <c r="U68" s="7"/>
      <c r="V68" s="7"/>
      <c r="W68" s="7"/>
      <c r="X68" s="7"/>
      <c r="Y68" s="7"/>
      <c r="Z68" s="7"/>
    </row>
    <row r="69" spans="1:26" ht="14.25" customHeight="1" x14ac:dyDescent="0.35">
      <c r="A69" s="7"/>
      <c r="B69" s="7"/>
      <c r="C69" s="7"/>
      <c r="D69" s="7"/>
      <c r="E69" s="7"/>
      <c r="F69" s="7"/>
      <c r="G69" s="7"/>
      <c r="H69" s="7"/>
      <c r="I69" s="7"/>
      <c r="J69" s="7"/>
      <c r="K69" s="7"/>
      <c r="L69" s="7"/>
      <c r="M69" s="7"/>
      <c r="N69" s="7"/>
      <c r="O69" s="7"/>
      <c r="P69" s="7"/>
      <c r="Q69" s="7"/>
      <c r="R69" s="7"/>
      <c r="S69" s="7"/>
      <c r="T69" s="7"/>
      <c r="U69" s="7"/>
      <c r="V69" s="7"/>
      <c r="W69" s="7"/>
      <c r="X69" s="7"/>
      <c r="Y69" s="7"/>
      <c r="Z69" s="7"/>
    </row>
    <row r="70" spans="1:26" ht="14.25" customHeight="1" x14ac:dyDescent="0.35">
      <c r="A70" s="7"/>
      <c r="B70" s="7"/>
      <c r="C70" s="7"/>
      <c r="D70" s="7"/>
      <c r="E70" s="7"/>
      <c r="F70" s="7"/>
      <c r="G70" s="7"/>
      <c r="H70" s="7"/>
      <c r="I70" s="7"/>
      <c r="J70" s="7"/>
      <c r="K70" s="7"/>
      <c r="L70" s="7"/>
      <c r="M70" s="7"/>
      <c r="N70" s="7"/>
      <c r="O70" s="7"/>
      <c r="P70" s="7"/>
      <c r="Q70" s="7"/>
      <c r="R70" s="7"/>
      <c r="S70" s="7"/>
      <c r="T70" s="7"/>
      <c r="U70" s="7"/>
      <c r="V70" s="7"/>
      <c r="W70" s="7"/>
      <c r="X70" s="7"/>
      <c r="Y70" s="7"/>
      <c r="Z70" s="7"/>
    </row>
    <row r="71" spans="1:26" ht="14.25" customHeight="1" x14ac:dyDescent="0.35">
      <c r="A71" s="7"/>
      <c r="B71" s="7"/>
      <c r="C71" s="7"/>
      <c r="D71" s="7"/>
      <c r="E71" s="7"/>
      <c r="F71" s="7"/>
      <c r="G71" s="7"/>
      <c r="H71" s="7"/>
      <c r="I71" s="7"/>
      <c r="J71" s="7"/>
      <c r="K71" s="7"/>
      <c r="L71" s="7"/>
      <c r="M71" s="7"/>
      <c r="N71" s="7"/>
      <c r="O71" s="7"/>
      <c r="P71" s="7"/>
      <c r="Q71" s="7"/>
      <c r="R71" s="7"/>
      <c r="S71" s="7"/>
      <c r="T71" s="7"/>
      <c r="U71" s="7"/>
      <c r="V71" s="7"/>
      <c r="W71" s="7"/>
      <c r="X71" s="7"/>
      <c r="Y71" s="7"/>
      <c r="Z71" s="7"/>
    </row>
    <row r="72" spans="1:26" ht="14.25" customHeight="1" x14ac:dyDescent="0.35">
      <c r="A72" s="7"/>
      <c r="B72" s="7"/>
      <c r="C72" s="7"/>
      <c r="D72" s="7"/>
      <c r="E72" s="7"/>
      <c r="F72" s="7"/>
      <c r="G72" s="7"/>
      <c r="H72" s="7"/>
      <c r="I72" s="7"/>
      <c r="J72" s="7"/>
      <c r="K72" s="7"/>
      <c r="L72" s="7"/>
      <c r="M72" s="7"/>
      <c r="N72" s="7"/>
      <c r="O72" s="7"/>
      <c r="P72" s="7"/>
      <c r="Q72" s="7"/>
      <c r="R72" s="7"/>
      <c r="S72" s="7"/>
      <c r="T72" s="7"/>
      <c r="U72" s="7"/>
      <c r="V72" s="7"/>
      <c r="W72" s="7"/>
      <c r="X72" s="7"/>
      <c r="Y72" s="7"/>
      <c r="Z72" s="7"/>
    </row>
    <row r="73" spans="1:26" ht="14.25" customHeight="1" x14ac:dyDescent="0.35">
      <c r="A73" s="7"/>
      <c r="B73" s="7"/>
      <c r="C73" s="7"/>
      <c r="D73" s="7"/>
      <c r="E73" s="7"/>
      <c r="F73" s="7"/>
      <c r="G73" s="7"/>
      <c r="H73" s="7"/>
      <c r="I73" s="7"/>
      <c r="J73" s="7"/>
      <c r="K73" s="7"/>
      <c r="L73" s="7"/>
      <c r="M73" s="7"/>
      <c r="N73" s="7"/>
      <c r="O73" s="7"/>
      <c r="P73" s="7"/>
      <c r="Q73" s="7"/>
      <c r="R73" s="7"/>
      <c r="S73" s="7"/>
      <c r="T73" s="7"/>
      <c r="U73" s="7"/>
      <c r="V73" s="7"/>
      <c r="W73" s="7"/>
      <c r="X73" s="7"/>
      <c r="Y73" s="7"/>
      <c r="Z73" s="7"/>
    </row>
    <row r="74" spans="1:26" ht="14.25" customHeight="1" x14ac:dyDescent="0.35">
      <c r="A74" s="7"/>
      <c r="B74" s="7"/>
      <c r="C74" s="7"/>
      <c r="D74" s="7"/>
      <c r="E74" s="7"/>
      <c r="F74" s="7"/>
      <c r="G74" s="7"/>
      <c r="H74" s="7"/>
      <c r="I74" s="7"/>
      <c r="J74" s="7"/>
      <c r="K74" s="7"/>
      <c r="L74" s="7"/>
      <c r="M74" s="7"/>
      <c r="N74" s="7"/>
      <c r="O74" s="7"/>
      <c r="P74" s="7"/>
      <c r="Q74" s="7"/>
      <c r="R74" s="7"/>
      <c r="S74" s="7"/>
      <c r="T74" s="7"/>
      <c r="U74" s="7"/>
      <c r="V74" s="7"/>
      <c r="W74" s="7"/>
      <c r="X74" s="7"/>
      <c r="Y74" s="7"/>
      <c r="Z74" s="7"/>
    </row>
    <row r="75" spans="1:26" ht="14.25" customHeight="1" x14ac:dyDescent="0.35">
      <c r="A75" s="7"/>
      <c r="B75" s="7"/>
      <c r="C75" s="7"/>
      <c r="D75" s="7"/>
      <c r="E75" s="7"/>
      <c r="F75" s="7"/>
      <c r="G75" s="7"/>
      <c r="H75" s="7"/>
      <c r="I75" s="7"/>
      <c r="J75" s="7"/>
      <c r="K75" s="7"/>
      <c r="L75" s="7"/>
      <c r="M75" s="7"/>
      <c r="N75" s="7"/>
      <c r="O75" s="7"/>
      <c r="P75" s="7"/>
      <c r="Q75" s="7"/>
      <c r="R75" s="7"/>
      <c r="S75" s="7"/>
      <c r="T75" s="7"/>
      <c r="U75" s="7"/>
      <c r="V75" s="7"/>
      <c r="W75" s="7"/>
      <c r="X75" s="7"/>
      <c r="Y75" s="7"/>
      <c r="Z75" s="7"/>
    </row>
    <row r="76" spans="1:26" ht="14.25" customHeight="1" x14ac:dyDescent="0.35">
      <c r="A76" s="7"/>
      <c r="B76" s="7"/>
      <c r="C76" s="7"/>
      <c r="D76" s="7"/>
      <c r="E76" s="7"/>
      <c r="F76" s="7"/>
      <c r="G76" s="7"/>
      <c r="H76" s="7"/>
      <c r="I76" s="7"/>
      <c r="J76" s="7"/>
      <c r="K76" s="7"/>
      <c r="L76" s="7"/>
      <c r="M76" s="7"/>
      <c r="N76" s="7"/>
      <c r="O76" s="7"/>
      <c r="P76" s="7"/>
      <c r="Q76" s="7"/>
      <c r="R76" s="7"/>
      <c r="S76" s="7"/>
      <c r="T76" s="7"/>
      <c r="U76" s="7"/>
      <c r="V76" s="7"/>
      <c r="W76" s="7"/>
      <c r="X76" s="7"/>
      <c r="Y76" s="7"/>
      <c r="Z76" s="7"/>
    </row>
    <row r="77" spans="1:26" ht="14.25" customHeight="1" x14ac:dyDescent="0.35">
      <c r="A77" s="7"/>
      <c r="B77" s="7"/>
      <c r="C77" s="7"/>
      <c r="D77" s="7"/>
      <c r="E77" s="7"/>
      <c r="F77" s="7"/>
      <c r="G77" s="7"/>
      <c r="H77" s="7"/>
      <c r="I77" s="7"/>
      <c r="J77" s="7"/>
      <c r="K77" s="7"/>
      <c r="L77" s="7"/>
      <c r="M77" s="7"/>
      <c r="N77" s="7"/>
      <c r="O77" s="7"/>
      <c r="P77" s="7"/>
      <c r="Q77" s="7"/>
      <c r="R77" s="7"/>
      <c r="S77" s="7"/>
      <c r="T77" s="7"/>
      <c r="U77" s="7"/>
      <c r="V77" s="7"/>
      <c r="W77" s="7"/>
      <c r="X77" s="7"/>
      <c r="Y77" s="7"/>
      <c r="Z77" s="7"/>
    </row>
    <row r="78" spans="1:26" ht="14.25" customHeight="1" x14ac:dyDescent="0.35">
      <c r="A78" s="7"/>
      <c r="B78" s="7"/>
      <c r="C78" s="7"/>
      <c r="D78" s="7"/>
      <c r="E78" s="7"/>
      <c r="F78" s="7"/>
      <c r="G78" s="7"/>
      <c r="H78" s="7"/>
      <c r="I78" s="7"/>
      <c r="J78" s="7"/>
      <c r="K78" s="7"/>
      <c r="L78" s="7"/>
      <c r="M78" s="7"/>
      <c r="N78" s="7"/>
      <c r="O78" s="7"/>
      <c r="P78" s="7"/>
      <c r="Q78" s="7"/>
      <c r="R78" s="7"/>
      <c r="S78" s="7"/>
      <c r="T78" s="7"/>
      <c r="U78" s="7"/>
      <c r="V78" s="7"/>
      <c r="W78" s="7"/>
      <c r="X78" s="7"/>
      <c r="Y78" s="7"/>
      <c r="Z78" s="7"/>
    </row>
    <row r="79" spans="1:26" ht="14.25" customHeight="1" x14ac:dyDescent="0.35">
      <c r="A79" s="7"/>
      <c r="B79" s="7"/>
      <c r="C79" s="7"/>
      <c r="D79" s="7"/>
      <c r="E79" s="7"/>
      <c r="F79" s="7"/>
      <c r="G79" s="7"/>
      <c r="H79" s="7"/>
      <c r="I79" s="7"/>
      <c r="J79" s="7"/>
      <c r="K79" s="7"/>
      <c r="L79" s="7"/>
      <c r="M79" s="7"/>
      <c r="N79" s="7"/>
      <c r="O79" s="7"/>
      <c r="P79" s="7"/>
      <c r="Q79" s="7"/>
      <c r="R79" s="7"/>
      <c r="S79" s="7"/>
      <c r="T79" s="7"/>
      <c r="U79" s="7"/>
      <c r="V79" s="7"/>
      <c r="W79" s="7"/>
      <c r="X79" s="7"/>
      <c r="Y79" s="7"/>
      <c r="Z79" s="7"/>
    </row>
    <row r="80" spans="1:26" ht="14.25" customHeight="1" x14ac:dyDescent="0.35">
      <c r="A80" s="7"/>
      <c r="B80" s="7"/>
      <c r="C80" s="7"/>
      <c r="D80" s="7"/>
      <c r="E80" s="7"/>
      <c r="F80" s="7"/>
      <c r="G80" s="7"/>
      <c r="H80" s="7"/>
      <c r="I80" s="7"/>
      <c r="J80" s="7"/>
      <c r="K80" s="7"/>
      <c r="L80" s="7"/>
      <c r="M80" s="7"/>
      <c r="N80" s="7"/>
      <c r="O80" s="7"/>
      <c r="P80" s="7"/>
      <c r="Q80" s="7"/>
      <c r="R80" s="7"/>
      <c r="S80" s="7"/>
      <c r="T80" s="7"/>
      <c r="U80" s="7"/>
      <c r="V80" s="7"/>
      <c r="W80" s="7"/>
      <c r="X80" s="7"/>
      <c r="Y80" s="7"/>
      <c r="Z80" s="7"/>
    </row>
    <row r="81" spans="1:26" ht="14.25" customHeight="1" x14ac:dyDescent="0.35">
      <c r="A81" s="7"/>
      <c r="B81" s="7"/>
      <c r="C81" s="7"/>
      <c r="D81" s="7"/>
      <c r="E81" s="7"/>
      <c r="F81" s="7"/>
      <c r="G81" s="7"/>
      <c r="H81" s="7"/>
      <c r="I81" s="7"/>
      <c r="J81" s="7"/>
      <c r="K81" s="7"/>
      <c r="L81" s="7"/>
      <c r="M81" s="7"/>
      <c r="N81" s="7"/>
      <c r="O81" s="7"/>
      <c r="P81" s="7"/>
      <c r="Q81" s="7"/>
      <c r="R81" s="7"/>
      <c r="S81" s="7"/>
      <c r="T81" s="7"/>
      <c r="U81" s="7"/>
      <c r="V81" s="7"/>
      <c r="W81" s="7"/>
      <c r="X81" s="7"/>
      <c r="Y81" s="7"/>
      <c r="Z81" s="7"/>
    </row>
    <row r="82" spans="1:26" ht="14.25" customHeight="1" x14ac:dyDescent="0.35">
      <c r="A82" s="7"/>
      <c r="B82" s="7"/>
      <c r="C82" s="7"/>
      <c r="D82" s="7"/>
      <c r="E82" s="7"/>
      <c r="F82" s="7"/>
      <c r="G82" s="7"/>
      <c r="H82" s="7"/>
      <c r="I82" s="7"/>
      <c r="J82" s="7"/>
      <c r="K82" s="7"/>
      <c r="L82" s="7"/>
      <c r="M82" s="7"/>
      <c r="N82" s="7"/>
      <c r="O82" s="7"/>
      <c r="P82" s="7"/>
      <c r="Q82" s="7"/>
      <c r="R82" s="7"/>
      <c r="S82" s="7"/>
      <c r="T82" s="7"/>
      <c r="U82" s="7"/>
      <c r="V82" s="7"/>
      <c r="W82" s="7"/>
      <c r="X82" s="7"/>
      <c r="Y82" s="7"/>
      <c r="Z82" s="7"/>
    </row>
    <row r="83" spans="1:26" ht="14.25" customHeight="1" x14ac:dyDescent="0.35">
      <c r="A83" s="7"/>
      <c r="B83" s="7"/>
      <c r="C83" s="7"/>
      <c r="D83" s="7"/>
      <c r="E83" s="7"/>
      <c r="F83" s="7"/>
      <c r="G83" s="7"/>
      <c r="H83" s="7"/>
      <c r="I83" s="7"/>
      <c r="J83" s="7"/>
      <c r="K83" s="7"/>
      <c r="L83" s="7"/>
      <c r="M83" s="7"/>
      <c r="N83" s="7"/>
      <c r="O83" s="7"/>
      <c r="P83" s="7"/>
      <c r="Q83" s="7"/>
      <c r="R83" s="7"/>
      <c r="S83" s="7"/>
      <c r="T83" s="7"/>
      <c r="U83" s="7"/>
      <c r="V83" s="7"/>
      <c r="W83" s="7"/>
      <c r="X83" s="7"/>
      <c r="Y83" s="7"/>
      <c r="Z83" s="7"/>
    </row>
    <row r="84" spans="1:26" ht="14.25" customHeight="1" x14ac:dyDescent="0.35">
      <c r="A84" s="7"/>
      <c r="B84" s="7"/>
      <c r="C84" s="7"/>
      <c r="D84" s="7"/>
      <c r="E84" s="7"/>
      <c r="F84" s="7"/>
      <c r="G84" s="7"/>
      <c r="H84" s="7"/>
      <c r="I84" s="7"/>
      <c r="J84" s="7"/>
      <c r="K84" s="7"/>
      <c r="L84" s="7"/>
      <c r="M84" s="7"/>
      <c r="N84" s="7"/>
      <c r="O84" s="7"/>
      <c r="P84" s="7"/>
      <c r="Q84" s="7"/>
      <c r="R84" s="7"/>
      <c r="S84" s="7"/>
      <c r="T84" s="7"/>
      <c r="U84" s="7"/>
      <c r="V84" s="7"/>
      <c r="W84" s="7"/>
      <c r="X84" s="7"/>
      <c r="Y84" s="7"/>
      <c r="Z84" s="7"/>
    </row>
    <row r="85" spans="1:26" ht="14.25" customHeight="1" x14ac:dyDescent="0.35">
      <c r="A85" s="7"/>
      <c r="B85" s="7"/>
      <c r="C85" s="7"/>
      <c r="D85" s="7"/>
      <c r="E85" s="7"/>
      <c r="F85" s="7"/>
      <c r="G85" s="7"/>
      <c r="H85" s="7"/>
      <c r="I85" s="7"/>
      <c r="J85" s="7"/>
      <c r="K85" s="7"/>
      <c r="L85" s="7"/>
      <c r="M85" s="7"/>
      <c r="N85" s="7"/>
      <c r="O85" s="7"/>
      <c r="P85" s="7"/>
      <c r="Q85" s="7"/>
      <c r="R85" s="7"/>
      <c r="S85" s="7"/>
      <c r="T85" s="7"/>
      <c r="U85" s="7"/>
      <c r="V85" s="7"/>
      <c r="W85" s="7"/>
      <c r="X85" s="7"/>
      <c r="Y85" s="7"/>
      <c r="Z85" s="7"/>
    </row>
    <row r="86" spans="1:26" ht="14.25" customHeight="1" x14ac:dyDescent="0.35">
      <c r="A86" s="7"/>
      <c r="B86" s="7"/>
      <c r="C86" s="7"/>
      <c r="D86" s="7"/>
      <c r="E86" s="7"/>
      <c r="F86" s="7"/>
      <c r="G86" s="7"/>
      <c r="H86" s="7"/>
      <c r="I86" s="7"/>
      <c r="J86" s="7"/>
      <c r="K86" s="7"/>
      <c r="L86" s="7"/>
      <c r="M86" s="7"/>
      <c r="N86" s="7"/>
      <c r="O86" s="7"/>
      <c r="P86" s="7"/>
      <c r="Q86" s="7"/>
      <c r="R86" s="7"/>
      <c r="S86" s="7"/>
      <c r="T86" s="7"/>
      <c r="U86" s="7"/>
      <c r="V86" s="7"/>
      <c r="W86" s="7"/>
      <c r="X86" s="7"/>
      <c r="Y86" s="7"/>
      <c r="Z86" s="7"/>
    </row>
    <row r="87" spans="1:26" ht="14.25" customHeight="1" x14ac:dyDescent="0.35">
      <c r="A87" s="7"/>
      <c r="B87" s="7"/>
      <c r="C87" s="7"/>
      <c r="D87" s="7"/>
      <c r="E87" s="7"/>
      <c r="F87" s="7"/>
      <c r="G87" s="7"/>
      <c r="H87" s="7"/>
      <c r="I87" s="7"/>
      <c r="J87" s="7"/>
      <c r="K87" s="7"/>
      <c r="L87" s="7"/>
      <c r="M87" s="7"/>
      <c r="N87" s="7"/>
      <c r="O87" s="7"/>
      <c r="P87" s="7"/>
      <c r="Q87" s="7"/>
      <c r="R87" s="7"/>
      <c r="S87" s="7"/>
      <c r="T87" s="7"/>
      <c r="U87" s="7"/>
      <c r="V87" s="7"/>
      <c r="W87" s="7"/>
      <c r="X87" s="7"/>
      <c r="Y87" s="7"/>
      <c r="Z87" s="7"/>
    </row>
    <row r="88" spans="1:26" ht="14.25" customHeight="1" x14ac:dyDescent="0.35">
      <c r="A88" s="7"/>
      <c r="B88" s="7"/>
      <c r="C88" s="7"/>
      <c r="D88" s="7"/>
      <c r="E88" s="7"/>
      <c r="F88" s="7"/>
      <c r="G88" s="7"/>
      <c r="H88" s="7"/>
      <c r="I88" s="7"/>
      <c r="J88" s="7"/>
      <c r="K88" s="7"/>
      <c r="L88" s="7"/>
      <c r="M88" s="7"/>
      <c r="N88" s="7"/>
      <c r="O88" s="7"/>
      <c r="P88" s="7"/>
      <c r="Q88" s="7"/>
      <c r="R88" s="7"/>
      <c r="S88" s="7"/>
      <c r="T88" s="7"/>
      <c r="U88" s="7"/>
      <c r="V88" s="7"/>
      <c r="W88" s="7"/>
      <c r="X88" s="7"/>
      <c r="Y88" s="7"/>
      <c r="Z88" s="7"/>
    </row>
    <row r="89" spans="1:26" ht="14.25" customHeight="1" x14ac:dyDescent="0.35">
      <c r="A89" s="7"/>
      <c r="B89" s="7"/>
      <c r="C89" s="7"/>
      <c r="D89" s="7"/>
      <c r="E89" s="7"/>
      <c r="F89" s="7"/>
      <c r="G89" s="7"/>
      <c r="H89" s="7"/>
      <c r="I89" s="7"/>
      <c r="J89" s="7"/>
      <c r="K89" s="7"/>
      <c r="L89" s="7"/>
      <c r="M89" s="7"/>
      <c r="N89" s="7"/>
      <c r="O89" s="7"/>
      <c r="P89" s="7"/>
      <c r="Q89" s="7"/>
      <c r="R89" s="7"/>
      <c r="S89" s="7"/>
      <c r="T89" s="7"/>
      <c r="U89" s="7"/>
      <c r="V89" s="7"/>
      <c r="W89" s="7"/>
      <c r="X89" s="7"/>
      <c r="Y89" s="7"/>
      <c r="Z89" s="7"/>
    </row>
    <row r="90" spans="1:26" ht="14.25" customHeight="1" x14ac:dyDescent="0.35">
      <c r="A90" s="7"/>
      <c r="B90" s="7"/>
      <c r="C90" s="7"/>
      <c r="D90" s="7"/>
      <c r="E90" s="7"/>
      <c r="F90" s="7"/>
      <c r="G90" s="7"/>
      <c r="H90" s="7"/>
      <c r="I90" s="7"/>
      <c r="J90" s="7"/>
      <c r="K90" s="7"/>
      <c r="L90" s="7"/>
      <c r="M90" s="7"/>
      <c r="N90" s="7"/>
      <c r="O90" s="7"/>
      <c r="P90" s="7"/>
      <c r="Q90" s="7"/>
      <c r="R90" s="7"/>
      <c r="S90" s="7"/>
      <c r="T90" s="7"/>
      <c r="U90" s="7"/>
      <c r="V90" s="7"/>
      <c r="W90" s="7"/>
      <c r="X90" s="7"/>
      <c r="Y90" s="7"/>
      <c r="Z90" s="7"/>
    </row>
    <row r="91" spans="1:26" ht="14.25" customHeight="1" x14ac:dyDescent="0.35">
      <c r="A91" s="7"/>
      <c r="B91" s="7"/>
      <c r="C91" s="7"/>
      <c r="D91" s="7"/>
      <c r="E91" s="7"/>
      <c r="F91" s="7"/>
      <c r="G91" s="7"/>
      <c r="H91" s="7"/>
      <c r="I91" s="7"/>
      <c r="J91" s="7"/>
      <c r="K91" s="7"/>
      <c r="L91" s="7"/>
      <c r="M91" s="7"/>
      <c r="N91" s="7"/>
      <c r="O91" s="7"/>
      <c r="P91" s="7"/>
      <c r="Q91" s="7"/>
      <c r="R91" s="7"/>
      <c r="S91" s="7"/>
      <c r="T91" s="7"/>
      <c r="U91" s="7"/>
      <c r="V91" s="7"/>
      <c r="W91" s="7"/>
      <c r="X91" s="7"/>
      <c r="Y91" s="7"/>
      <c r="Z91" s="7"/>
    </row>
    <row r="92" spans="1:26" ht="14.25" customHeight="1" x14ac:dyDescent="0.35">
      <c r="A92" s="7"/>
      <c r="B92" s="7"/>
      <c r="C92" s="7"/>
      <c r="D92" s="7"/>
      <c r="E92" s="7"/>
      <c r="F92" s="7"/>
      <c r="G92" s="7"/>
      <c r="H92" s="7"/>
      <c r="I92" s="7"/>
      <c r="J92" s="7"/>
      <c r="K92" s="7"/>
      <c r="L92" s="7"/>
      <c r="M92" s="7"/>
      <c r="N92" s="7"/>
      <c r="O92" s="7"/>
      <c r="P92" s="7"/>
      <c r="Q92" s="7"/>
      <c r="R92" s="7"/>
      <c r="S92" s="7"/>
      <c r="T92" s="7"/>
      <c r="U92" s="7"/>
      <c r="V92" s="7"/>
      <c r="W92" s="7"/>
      <c r="X92" s="7"/>
      <c r="Y92" s="7"/>
      <c r="Z92" s="7"/>
    </row>
    <row r="93" spans="1:26" ht="14.25" customHeight="1" x14ac:dyDescent="0.35">
      <c r="A93" s="7"/>
      <c r="B93" s="7"/>
      <c r="C93" s="7"/>
      <c r="D93" s="7"/>
      <c r="E93" s="7"/>
      <c r="F93" s="7"/>
      <c r="G93" s="7"/>
      <c r="H93" s="7"/>
      <c r="I93" s="7"/>
      <c r="J93" s="7"/>
      <c r="K93" s="7"/>
      <c r="L93" s="7"/>
      <c r="M93" s="7"/>
      <c r="N93" s="7"/>
      <c r="O93" s="7"/>
      <c r="P93" s="7"/>
      <c r="Q93" s="7"/>
      <c r="R93" s="7"/>
      <c r="S93" s="7"/>
      <c r="T93" s="7"/>
      <c r="U93" s="7"/>
      <c r="V93" s="7"/>
      <c r="W93" s="7"/>
      <c r="X93" s="7"/>
      <c r="Y93" s="7"/>
      <c r="Z93" s="7"/>
    </row>
    <row r="94" spans="1:26" ht="14.25" customHeight="1" x14ac:dyDescent="0.35">
      <c r="A94" s="7"/>
      <c r="B94" s="7"/>
      <c r="C94" s="7"/>
      <c r="D94" s="7"/>
      <c r="E94" s="7"/>
      <c r="F94" s="7"/>
      <c r="G94" s="7"/>
      <c r="H94" s="7"/>
      <c r="I94" s="7"/>
      <c r="J94" s="7"/>
      <c r="K94" s="7"/>
      <c r="L94" s="7"/>
      <c r="M94" s="7"/>
      <c r="N94" s="7"/>
      <c r="O94" s="7"/>
      <c r="P94" s="7"/>
      <c r="Q94" s="7"/>
      <c r="R94" s="7"/>
      <c r="S94" s="7"/>
      <c r="T94" s="7"/>
      <c r="U94" s="7"/>
      <c r="V94" s="7"/>
      <c r="W94" s="7"/>
      <c r="X94" s="7"/>
      <c r="Y94" s="7"/>
      <c r="Z94" s="7"/>
    </row>
    <row r="95" spans="1:26" ht="14.25" customHeight="1" x14ac:dyDescent="0.35">
      <c r="A95" s="7"/>
      <c r="B95" s="7"/>
      <c r="C95" s="7"/>
      <c r="D95" s="7"/>
      <c r="E95" s="7"/>
      <c r="F95" s="7"/>
      <c r="G95" s="7"/>
      <c r="H95" s="7"/>
      <c r="I95" s="7"/>
      <c r="J95" s="7"/>
      <c r="K95" s="7"/>
      <c r="L95" s="7"/>
      <c r="M95" s="7"/>
      <c r="N95" s="7"/>
      <c r="O95" s="7"/>
      <c r="P95" s="7"/>
      <c r="Q95" s="7"/>
      <c r="R95" s="7"/>
      <c r="S95" s="7"/>
      <c r="T95" s="7"/>
      <c r="U95" s="7"/>
      <c r="V95" s="7"/>
      <c r="W95" s="7"/>
      <c r="X95" s="7"/>
      <c r="Y95" s="7"/>
      <c r="Z95" s="7"/>
    </row>
    <row r="96" spans="1:26" ht="14.25" customHeight="1" x14ac:dyDescent="0.35">
      <c r="A96" s="7"/>
      <c r="B96" s="7"/>
      <c r="C96" s="7"/>
      <c r="D96" s="7"/>
      <c r="E96" s="7"/>
      <c r="F96" s="7"/>
      <c r="G96" s="7"/>
      <c r="H96" s="7"/>
      <c r="I96" s="7"/>
      <c r="J96" s="7"/>
      <c r="K96" s="7"/>
      <c r="L96" s="7"/>
      <c r="M96" s="7"/>
      <c r="N96" s="7"/>
      <c r="O96" s="7"/>
      <c r="P96" s="7"/>
      <c r="Q96" s="7"/>
      <c r="R96" s="7"/>
      <c r="S96" s="7"/>
      <c r="T96" s="7"/>
      <c r="U96" s="7"/>
      <c r="V96" s="7"/>
      <c r="W96" s="7"/>
      <c r="X96" s="7"/>
      <c r="Y96" s="7"/>
      <c r="Z96" s="7"/>
    </row>
    <row r="97" spans="1:26" ht="14.25" customHeight="1" x14ac:dyDescent="0.35">
      <c r="A97" s="7"/>
      <c r="B97" s="7"/>
      <c r="C97" s="7"/>
      <c r="D97" s="7"/>
      <c r="E97" s="7"/>
      <c r="F97" s="7"/>
      <c r="G97" s="7"/>
      <c r="H97" s="7"/>
      <c r="I97" s="7"/>
      <c r="J97" s="7"/>
      <c r="K97" s="7"/>
      <c r="L97" s="7"/>
      <c r="M97" s="7"/>
      <c r="N97" s="7"/>
      <c r="O97" s="7"/>
      <c r="P97" s="7"/>
      <c r="Q97" s="7"/>
      <c r="R97" s="7"/>
      <c r="S97" s="7"/>
      <c r="T97" s="7"/>
      <c r="U97" s="7"/>
      <c r="V97" s="7"/>
      <c r="W97" s="7"/>
      <c r="X97" s="7"/>
      <c r="Y97" s="7"/>
      <c r="Z97" s="7"/>
    </row>
    <row r="98" spans="1:26" ht="14.25" customHeight="1" x14ac:dyDescent="0.35">
      <c r="A98" s="7"/>
      <c r="B98" s="7"/>
      <c r="C98" s="7"/>
      <c r="D98" s="7"/>
      <c r="E98" s="7"/>
      <c r="F98" s="7"/>
      <c r="G98" s="7"/>
      <c r="H98" s="7"/>
      <c r="I98" s="7"/>
      <c r="J98" s="7"/>
      <c r="K98" s="7"/>
      <c r="L98" s="7"/>
      <c r="M98" s="7"/>
      <c r="N98" s="7"/>
      <c r="O98" s="7"/>
      <c r="P98" s="7"/>
      <c r="Q98" s="7"/>
      <c r="R98" s="7"/>
      <c r="S98" s="7"/>
      <c r="T98" s="7"/>
      <c r="U98" s="7"/>
      <c r="V98" s="7"/>
      <c r="W98" s="7"/>
      <c r="X98" s="7"/>
      <c r="Y98" s="7"/>
      <c r="Z98" s="7"/>
    </row>
    <row r="99" spans="1:26" ht="14.25" customHeight="1" x14ac:dyDescent="0.35">
      <c r="A99" s="7"/>
      <c r="B99" s="7"/>
      <c r="C99" s="7"/>
      <c r="D99" s="7"/>
      <c r="E99" s="7"/>
      <c r="F99" s="7"/>
      <c r="G99" s="7"/>
      <c r="H99" s="7"/>
      <c r="I99" s="7"/>
      <c r="J99" s="7"/>
      <c r="K99" s="7"/>
      <c r="L99" s="7"/>
      <c r="M99" s="7"/>
      <c r="N99" s="7"/>
      <c r="O99" s="7"/>
      <c r="P99" s="7"/>
      <c r="Q99" s="7"/>
      <c r="R99" s="7"/>
      <c r="S99" s="7"/>
      <c r="T99" s="7"/>
      <c r="U99" s="7"/>
      <c r="V99" s="7"/>
      <c r="W99" s="7"/>
      <c r="X99" s="7"/>
      <c r="Y99" s="7"/>
      <c r="Z99" s="7"/>
    </row>
    <row r="100" spans="1:26" ht="14.25" customHeight="1" x14ac:dyDescent="0.3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spans="1:26" ht="14.25" customHeight="1" x14ac:dyDescent="0.3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spans="1:26" ht="14.25" customHeight="1" x14ac:dyDescent="0.3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spans="1:26" ht="14.25" customHeight="1" x14ac:dyDescent="0.3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spans="1:26" ht="14.25" customHeight="1" x14ac:dyDescent="0.3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spans="1:26" ht="14.25" customHeight="1" x14ac:dyDescent="0.3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spans="1:26" ht="14.25" customHeight="1" x14ac:dyDescent="0.3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spans="1:26" ht="14.25" customHeight="1" x14ac:dyDescent="0.3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spans="1:26" ht="14.25" customHeight="1" x14ac:dyDescent="0.3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spans="1:26" ht="14.25" customHeight="1" x14ac:dyDescent="0.3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spans="1:26" ht="14.25" customHeight="1" x14ac:dyDescent="0.3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spans="1:26" ht="14.25" customHeight="1" x14ac:dyDescent="0.3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spans="1:26" ht="14.25" customHeight="1" x14ac:dyDescent="0.35">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spans="1:26" ht="14.25" customHeight="1" x14ac:dyDescent="0.35">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spans="1:26" ht="14.25" customHeight="1" x14ac:dyDescent="0.35">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spans="1:26" ht="14.25" customHeight="1" x14ac:dyDescent="0.35">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spans="1:26" ht="14.25" customHeight="1" x14ac:dyDescent="0.35">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spans="1:26" ht="14.25" customHeight="1" x14ac:dyDescent="0.35">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spans="1:26" ht="14.25" customHeight="1" x14ac:dyDescent="0.35">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spans="1:26" ht="14.25" customHeight="1" x14ac:dyDescent="0.35">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spans="1:26" ht="14.25" customHeight="1" x14ac:dyDescent="0.35">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spans="1:26" ht="14.25" customHeight="1" x14ac:dyDescent="0.35">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spans="1:26" ht="14.25" customHeight="1" x14ac:dyDescent="0.35">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spans="1:26" ht="14.25" customHeight="1" x14ac:dyDescent="0.35">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spans="1:26" ht="14.25" customHeight="1" x14ac:dyDescent="0.35">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spans="1:26" ht="14.25" customHeight="1" x14ac:dyDescent="0.35">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spans="1:26" ht="14.25" customHeight="1" x14ac:dyDescent="0.35">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spans="1:26" ht="14.25" customHeight="1" x14ac:dyDescent="0.35">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spans="1:26" ht="14.25" customHeight="1" x14ac:dyDescent="0.35">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spans="1:26" ht="14.25" customHeight="1" x14ac:dyDescent="0.35">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spans="1:26" ht="14.25" customHeight="1" x14ac:dyDescent="0.35">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spans="1:26" ht="14.25" customHeight="1" x14ac:dyDescent="0.35">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spans="1:26" ht="14.25" customHeight="1" x14ac:dyDescent="0.35">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spans="1:26" ht="14.25" customHeight="1" x14ac:dyDescent="0.35">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spans="1:26" ht="14.25" customHeight="1" x14ac:dyDescent="0.35">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spans="1:26" ht="14.25" customHeight="1" x14ac:dyDescent="0.35">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spans="1:26" ht="14.25" customHeight="1" x14ac:dyDescent="0.35">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spans="1:26" ht="14.25" customHeight="1" x14ac:dyDescent="0.35">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spans="1:26" ht="14.25" customHeight="1" x14ac:dyDescent="0.35">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spans="1:26" ht="14.25" customHeight="1" x14ac:dyDescent="0.35">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spans="1:26" ht="14.25" customHeight="1" x14ac:dyDescent="0.35">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spans="1:26" ht="14.25" customHeight="1" x14ac:dyDescent="0.35">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spans="1:26" ht="14.25" customHeight="1" x14ac:dyDescent="0.35">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spans="1:26" ht="14.25" customHeight="1" x14ac:dyDescent="0.35">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spans="1:26" ht="14.25" customHeight="1" x14ac:dyDescent="0.35">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spans="1:26" ht="14.25" customHeight="1" x14ac:dyDescent="0.35">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spans="1:26" ht="14.25" customHeight="1" x14ac:dyDescent="0.35">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spans="1:26" ht="14.25" customHeight="1" x14ac:dyDescent="0.35">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spans="1:26" ht="14.25" customHeight="1" x14ac:dyDescent="0.35">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spans="1:26" ht="14.25" customHeight="1" x14ac:dyDescent="0.35">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spans="1:26" ht="14.25" customHeight="1" x14ac:dyDescent="0.35">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spans="1:26" ht="14.25" customHeight="1" x14ac:dyDescent="0.35">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spans="1:26" ht="14.25" customHeight="1" x14ac:dyDescent="0.35">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spans="1:26" ht="14.25" customHeight="1" x14ac:dyDescent="0.35">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spans="1:26" ht="14.25" customHeight="1" x14ac:dyDescent="0.35">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spans="1:26" ht="14.25" customHeight="1" x14ac:dyDescent="0.35">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25" customHeight="1" x14ac:dyDescent="0.35">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spans="1:26" ht="14.25" customHeight="1" x14ac:dyDescent="0.35">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spans="1:26" ht="14.25" customHeight="1" x14ac:dyDescent="0.35">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spans="1:26" ht="14.25" customHeight="1" x14ac:dyDescent="0.35">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spans="1:26" ht="14.25" customHeight="1" x14ac:dyDescent="0.35">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spans="1:26" ht="14.25" customHeight="1" x14ac:dyDescent="0.35">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spans="1:26" ht="14.25" customHeight="1" x14ac:dyDescent="0.35">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spans="1:26" ht="14.25" customHeight="1" x14ac:dyDescent="0.35">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spans="1:26" ht="14.25" customHeight="1" x14ac:dyDescent="0.35">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spans="1:26" ht="14.25" customHeight="1" x14ac:dyDescent="0.35">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spans="1:26" ht="14.25" customHeight="1" x14ac:dyDescent="0.35">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spans="1:26" ht="14.25" customHeight="1" x14ac:dyDescent="0.35">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spans="1:26" ht="14.25" customHeight="1" x14ac:dyDescent="0.35">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spans="1:26" ht="14.25" customHeight="1" x14ac:dyDescent="0.35">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spans="1:26" ht="14.25" customHeight="1" x14ac:dyDescent="0.35">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spans="1:26" ht="14.25" customHeight="1" x14ac:dyDescent="0.35">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spans="1:26" ht="14.25" customHeight="1" x14ac:dyDescent="0.35">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spans="1:26" ht="14.25" customHeight="1" x14ac:dyDescent="0.35">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spans="1:26" ht="14.25" customHeight="1" x14ac:dyDescent="0.35">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spans="1:26" ht="14.25" customHeight="1" x14ac:dyDescent="0.35">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spans="1:26" ht="14.25" customHeight="1" x14ac:dyDescent="0.35">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spans="1:26" ht="14.25" customHeight="1" x14ac:dyDescent="0.35">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spans="1:26" ht="14.25" customHeight="1" x14ac:dyDescent="0.35">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spans="1:26" ht="14.25" customHeight="1" x14ac:dyDescent="0.35">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spans="1:26" ht="14.25" customHeight="1" x14ac:dyDescent="0.35">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spans="1:26" ht="14.25" customHeight="1" x14ac:dyDescent="0.35">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spans="1:26" ht="14.25" customHeight="1" x14ac:dyDescent="0.35">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spans="1:26" ht="14.25" customHeight="1" x14ac:dyDescent="0.35">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spans="1:26" ht="14.25" customHeight="1" x14ac:dyDescent="0.35">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spans="1:26" ht="14.25" customHeight="1" x14ac:dyDescent="0.35">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spans="1:26" ht="14.25" customHeight="1" x14ac:dyDescent="0.35">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spans="1:26" ht="14.25" customHeight="1" x14ac:dyDescent="0.35">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spans="1:26" ht="14.25" customHeight="1" x14ac:dyDescent="0.35">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spans="1:26" ht="14.25" customHeight="1" x14ac:dyDescent="0.35">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spans="1:26" ht="14.25" customHeight="1" x14ac:dyDescent="0.35">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spans="1:26" ht="14.25" customHeight="1" x14ac:dyDescent="0.35">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spans="1:26" ht="14.25" customHeight="1" x14ac:dyDescent="0.35">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spans="1:26" ht="14.25" customHeight="1" x14ac:dyDescent="0.35">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spans="1:26" ht="14.25" customHeight="1" x14ac:dyDescent="0.35">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spans="1:26" ht="14.25" customHeight="1" x14ac:dyDescent="0.35">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spans="1:26" ht="14.25" customHeight="1" x14ac:dyDescent="0.35">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spans="1:26" ht="14.25" customHeight="1" x14ac:dyDescent="0.35">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spans="1:26" ht="14.25" customHeight="1" x14ac:dyDescent="0.35">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spans="1:26" ht="14.25" customHeight="1" x14ac:dyDescent="0.35">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spans="1:26" ht="14.25" customHeight="1" x14ac:dyDescent="0.35">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spans="1:26" ht="14.25" customHeight="1" x14ac:dyDescent="0.35">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spans="1:26" ht="14.25" customHeight="1" x14ac:dyDescent="0.35">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spans="1:26" ht="14.25" customHeight="1" x14ac:dyDescent="0.35">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spans="1:26" ht="14.25" customHeight="1" x14ac:dyDescent="0.35">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spans="1:26" ht="14.25" customHeight="1" x14ac:dyDescent="0.35">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spans="1:26" ht="14.25" customHeight="1" x14ac:dyDescent="0.35">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spans="1:26" ht="14.25" customHeight="1" x14ac:dyDescent="0.35">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spans="1:26" ht="14.25" customHeight="1" x14ac:dyDescent="0.35">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spans="1:26" ht="14.25" customHeight="1" x14ac:dyDescent="0.35">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spans="1:26" ht="14.25" customHeight="1" x14ac:dyDescent="0.35">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spans="1:26" ht="14.25" customHeight="1" x14ac:dyDescent="0.35">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spans="1:26" ht="14.25" customHeight="1" x14ac:dyDescent="0.35">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spans="1:26" ht="14.25" customHeight="1" x14ac:dyDescent="0.35">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spans="1:26" ht="14.25" customHeight="1" x14ac:dyDescent="0.35">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spans="1:26" ht="14.25" customHeight="1" x14ac:dyDescent="0.35">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spans="1:26" ht="14.25" customHeight="1" x14ac:dyDescent="0.35">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spans="1:26" ht="14.25" customHeight="1" x14ac:dyDescent="0.35">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spans="1:26" ht="14.25" customHeight="1" x14ac:dyDescent="0.35">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spans="1:26" ht="14.25" customHeight="1" x14ac:dyDescent="0.35">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spans="1:26" ht="14.25" customHeight="1" x14ac:dyDescent="0.35">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spans="1:26" ht="14.25" customHeight="1" x14ac:dyDescent="0.35">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spans="1:26" ht="14.25" customHeight="1" x14ac:dyDescent="0.35">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spans="1:26" ht="14.25" customHeight="1" x14ac:dyDescent="0.35">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spans="1:26" ht="14.25" customHeight="1" x14ac:dyDescent="0.35">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spans="1:26" ht="14.25" customHeight="1" x14ac:dyDescent="0.35">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spans="1:26" ht="14.25" customHeight="1" x14ac:dyDescent="0.35">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spans="1:26" ht="14.25" customHeight="1" x14ac:dyDescent="0.35">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spans="1:26" ht="14.25" customHeight="1" x14ac:dyDescent="0.35">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spans="1:26" ht="14.25" customHeight="1" x14ac:dyDescent="0.35">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spans="1:26" ht="14.25" customHeight="1" x14ac:dyDescent="0.35">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spans="1:26" ht="14.25" customHeight="1" x14ac:dyDescent="0.35">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spans="1:26" ht="14.25" customHeight="1" x14ac:dyDescent="0.35">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spans="1:26" ht="14.25" customHeight="1" x14ac:dyDescent="0.35">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spans="1:26" ht="14.25" customHeight="1" x14ac:dyDescent="0.35">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spans="1:26" ht="14.25" customHeight="1" x14ac:dyDescent="0.35">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spans="1:26" ht="14.25" customHeight="1" x14ac:dyDescent="0.35">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spans="1:26" ht="14.25" customHeight="1" x14ac:dyDescent="0.35">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spans="1:26" ht="14.25" customHeight="1" x14ac:dyDescent="0.35">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spans="1:26" ht="14.25" customHeight="1" x14ac:dyDescent="0.35">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spans="1:26" ht="14.25" customHeight="1" x14ac:dyDescent="0.35">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spans="1:26" ht="14.25" customHeight="1" x14ac:dyDescent="0.35">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spans="1:26" ht="14.25" customHeight="1" x14ac:dyDescent="0.35">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spans="1:26" ht="14.25" customHeight="1" x14ac:dyDescent="0.35">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spans="1:26" ht="14.25" customHeight="1" x14ac:dyDescent="0.35">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spans="1:26" ht="14.25" customHeight="1" x14ac:dyDescent="0.35">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spans="1:26" ht="14.25" customHeight="1" x14ac:dyDescent="0.35">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spans="1:26" ht="14.25" customHeight="1" x14ac:dyDescent="0.35">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spans="1:26" ht="14.25" customHeight="1" x14ac:dyDescent="0.35">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spans="1:26" ht="14.25" customHeight="1" x14ac:dyDescent="0.35">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spans="1:26" ht="14.25" customHeight="1" x14ac:dyDescent="0.35">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spans="1:26" ht="14.25" customHeight="1" x14ac:dyDescent="0.35">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spans="1:26" ht="14.25" customHeight="1" x14ac:dyDescent="0.35">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spans="1:26" ht="14.25" customHeight="1" x14ac:dyDescent="0.35">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spans="1:26" ht="14.25" customHeight="1" x14ac:dyDescent="0.35">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spans="1:26" ht="14.25" customHeight="1" x14ac:dyDescent="0.35">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spans="1:26" ht="14.25" customHeight="1" x14ac:dyDescent="0.35">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spans="1:26" ht="14.25" customHeight="1" x14ac:dyDescent="0.35">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spans="1:26" ht="14.25" customHeight="1" x14ac:dyDescent="0.35">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spans="1:26" ht="14.25" customHeight="1" x14ac:dyDescent="0.35">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spans="1:26" ht="14.25" customHeight="1" x14ac:dyDescent="0.35">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spans="1:26" ht="14.25" customHeight="1" x14ac:dyDescent="0.35">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spans="1:26" ht="14.25" customHeight="1" x14ac:dyDescent="0.35">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spans="1:26" ht="14.25" customHeight="1" x14ac:dyDescent="0.35">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spans="1:26" ht="14.25" customHeight="1" x14ac:dyDescent="0.35">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spans="1:26" ht="14.25" customHeight="1" x14ac:dyDescent="0.35">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spans="1:26" ht="14.25" customHeight="1" x14ac:dyDescent="0.35">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spans="1:26" ht="14.25" customHeight="1" x14ac:dyDescent="0.35">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spans="1:26" ht="14.25" customHeight="1" x14ac:dyDescent="0.35">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spans="1:26" ht="14.25" customHeight="1" x14ac:dyDescent="0.35">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spans="1:26" ht="14.25" customHeight="1" x14ac:dyDescent="0.35">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spans="1:26" ht="14.25" customHeight="1" x14ac:dyDescent="0.35">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spans="1:26" ht="14.25" customHeight="1" x14ac:dyDescent="0.35">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spans="1:26" ht="14.25" customHeight="1" x14ac:dyDescent="0.35">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spans="1:26" ht="14.25" customHeight="1" x14ac:dyDescent="0.35">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spans="1:26" ht="14.25" customHeight="1" x14ac:dyDescent="0.35">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spans="1:26" ht="14.25" customHeight="1" x14ac:dyDescent="0.35">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spans="1:26" ht="14.25" customHeight="1" x14ac:dyDescent="0.35">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spans="1:26" ht="14.25" customHeight="1" x14ac:dyDescent="0.35">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spans="1:26" ht="14.25" customHeight="1" x14ac:dyDescent="0.35">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spans="1:26" ht="14.25" customHeight="1" x14ac:dyDescent="0.35">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spans="1:26" ht="14.25" customHeight="1" x14ac:dyDescent="0.35">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spans="1:26" ht="14.25" customHeight="1" x14ac:dyDescent="0.35">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spans="1:26" ht="14.25" customHeight="1" x14ac:dyDescent="0.35">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spans="1:26" ht="14.25" customHeight="1" x14ac:dyDescent="0.35">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spans="1:26" ht="14.25" customHeight="1" x14ac:dyDescent="0.35">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spans="1:26" ht="14.25" customHeight="1" x14ac:dyDescent="0.35">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spans="1:26" ht="14.25" customHeight="1" x14ac:dyDescent="0.35">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spans="1:26" ht="14.25" customHeight="1" x14ac:dyDescent="0.35">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spans="1:26" ht="14.25" customHeight="1" x14ac:dyDescent="0.35">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spans="1:26" ht="14.25" customHeight="1" x14ac:dyDescent="0.35">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spans="1:26" ht="14.25" customHeight="1" x14ac:dyDescent="0.35">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spans="1:26" ht="14.25" customHeight="1" x14ac:dyDescent="0.35">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spans="1:26" ht="14.25" customHeight="1" x14ac:dyDescent="0.35">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spans="1:26" ht="14.25" customHeight="1" x14ac:dyDescent="0.35">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spans="1:26" ht="14.25" customHeight="1" x14ac:dyDescent="0.35">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spans="1:26" ht="14.25" customHeight="1" x14ac:dyDescent="0.35">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spans="1:26" ht="14.25" customHeight="1" x14ac:dyDescent="0.35">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spans="1:26" ht="14.25" customHeight="1" x14ac:dyDescent="0.35">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spans="1:26" ht="14.25" customHeight="1" x14ac:dyDescent="0.35">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spans="1:26" ht="14.25" customHeight="1" x14ac:dyDescent="0.35">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spans="1:26" ht="14.25" customHeight="1" x14ac:dyDescent="0.35">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spans="1:26" ht="14.25" customHeight="1" x14ac:dyDescent="0.35">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spans="1:26" ht="14.25" customHeight="1" x14ac:dyDescent="0.35">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spans="1:26" ht="14.25" customHeight="1" x14ac:dyDescent="0.35">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spans="1:26" ht="14.25" customHeight="1" x14ac:dyDescent="0.35">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spans="1:26" ht="14.25" customHeight="1" x14ac:dyDescent="0.35">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spans="1:26" ht="14.25" customHeight="1" x14ac:dyDescent="0.35">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spans="1:26" ht="14.25" customHeight="1" x14ac:dyDescent="0.35">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spans="1:26" ht="14.25" customHeight="1" x14ac:dyDescent="0.35">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spans="1:26" ht="14.25" customHeight="1" x14ac:dyDescent="0.35">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spans="1:26" ht="14.25" customHeight="1" x14ac:dyDescent="0.35">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spans="1:26" ht="14.25" customHeight="1" x14ac:dyDescent="0.35">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spans="1:26" ht="14.25" customHeight="1" x14ac:dyDescent="0.35">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spans="1:26" ht="14.25" customHeight="1" x14ac:dyDescent="0.35">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spans="1:26" ht="14.25" customHeight="1" x14ac:dyDescent="0.35">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spans="1:26" ht="14.25" customHeight="1" x14ac:dyDescent="0.35">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spans="1:26" ht="14.25" customHeight="1" x14ac:dyDescent="0.35">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spans="1:26" ht="14.25" customHeight="1" x14ac:dyDescent="0.35">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spans="1:26" ht="14.25" customHeight="1" x14ac:dyDescent="0.35">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spans="1:26" ht="14.25" customHeight="1" x14ac:dyDescent="0.35">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spans="1:26" ht="14.25" customHeight="1" x14ac:dyDescent="0.35">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spans="1:26" ht="14.25" customHeight="1" x14ac:dyDescent="0.35">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spans="1:26" ht="14.25" customHeight="1" x14ac:dyDescent="0.35">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spans="1:26" ht="14.25" customHeight="1" x14ac:dyDescent="0.35">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spans="1:26" ht="14.25" customHeight="1" x14ac:dyDescent="0.35">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spans="1:26" ht="14.25" customHeight="1" x14ac:dyDescent="0.35">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spans="1:26" ht="14.25" customHeight="1" x14ac:dyDescent="0.35">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spans="1:26" ht="14.25" customHeight="1" x14ac:dyDescent="0.35">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spans="1:26" ht="14.25" customHeight="1" x14ac:dyDescent="0.35">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spans="1:26" ht="14.25" customHeight="1" x14ac:dyDescent="0.35">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spans="1:26" ht="14.25" customHeight="1" x14ac:dyDescent="0.35">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spans="1:26" ht="14.25" customHeight="1" x14ac:dyDescent="0.35">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spans="1:26" ht="14.25" customHeight="1" x14ac:dyDescent="0.35">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spans="1:26" ht="14.25" customHeight="1" x14ac:dyDescent="0.35">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spans="1:26" ht="14.25" customHeight="1" x14ac:dyDescent="0.35">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spans="1:26" ht="14.25" customHeight="1" x14ac:dyDescent="0.35">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spans="1:26" ht="14.25" customHeight="1" x14ac:dyDescent="0.35">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spans="1:26" ht="14.25" customHeight="1" x14ac:dyDescent="0.35">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spans="1:26" ht="14.25" customHeight="1" x14ac:dyDescent="0.35">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spans="1:26" ht="14.25" customHeight="1" x14ac:dyDescent="0.35">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spans="1:26" ht="14.25" customHeight="1" x14ac:dyDescent="0.35">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spans="1:26" ht="14.25" customHeight="1" x14ac:dyDescent="0.35">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spans="1:26" ht="14.25" customHeight="1" x14ac:dyDescent="0.35">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spans="1:26" ht="14.25" customHeight="1" x14ac:dyDescent="0.35">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spans="1:26" ht="14.25" customHeight="1" x14ac:dyDescent="0.35">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spans="1:26" ht="14.25" customHeight="1" x14ac:dyDescent="0.35">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spans="1:26" ht="14.25" customHeight="1" x14ac:dyDescent="0.35">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spans="1:26" ht="14.25" customHeight="1" x14ac:dyDescent="0.35">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spans="1:26" ht="14.25" customHeight="1" x14ac:dyDescent="0.35">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spans="1:26" ht="14.25" customHeight="1" x14ac:dyDescent="0.35">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spans="1:26" ht="14.25" customHeight="1" x14ac:dyDescent="0.35">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spans="1:26" ht="14.25" customHeight="1" x14ac:dyDescent="0.35">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spans="1:26" ht="14.25" customHeight="1" x14ac:dyDescent="0.35">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spans="1:26" ht="14.25" customHeight="1" x14ac:dyDescent="0.35">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spans="1:26" ht="14.25" customHeight="1" x14ac:dyDescent="0.35">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spans="1:26" ht="14.25" customHeight="1" x14ac:dyDescent="0.35">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spans="1:26" ht="14.25" customHeight="1" x14ac:dyDescent="0.35">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spans="1:26" ht="14.25" customHeight="1" x14ac:dyDescent="0.35">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spans="1:26" ht="14.25" customHeight="1" x14ac:dyDescent="0.35">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spans="1:26" ht="14.25" customHeight="1" x14ac:dyDescent="0.35">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spans="1:26" ht="14.25" customHeight="1" x14ac:dyDescent="0.35">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spans="1:26" ht="14.25" customHeight="1" x14ac:dyDescent="0.35">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spans="1:26" ht="14.25" customHeight="1" x14ac:dyDescent="0.35">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spans="1:26" ht="14.25" customHeight="1" x14ac:dyDescent="0.35">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spans="1:26" ht="14.25" customHeight="1" x14ac:dyDescent="0.35">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spans="1:26" ht="14.25" customHeight="1" x14ac:dyDescent="0.35">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spans="1:26" ht="14.25" customHeight="1" x14ac:dyDescent="0.35">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spans="1:26" ht="14.25" customHeight="1" x14ac:dyDescent="0.35">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spans="1:26" ht="14.25" customHeight="1" x14ac:dyDescent="0.35">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spans="1:26" ht="14.25" customHeight="1" x14ac:dyDescent="0.35">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spans="1:26" ht="14.25" customHeight="1" x14ac:dyDescent="0.35">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spans="1:26" ht="14.25" customHeight="1" x14ac:dyDescent="0.35">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spans="1:26" ht="14.25" customHeight="1" x14ac:dyDescent="0.35">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spans="1:26" ht="14.25" customHeight="1" x14ac:dyDescent="0.35">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spans="1:26" ht="14.25" customHeight="1" x14ac:dyDescent="0.35">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spans="1:26" ht="14.25" customHeight="1" x14ac:dyDescent="0.35">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spans="1:26" ht="14.25" customHeight="1" x14ac:dyDescent="0.35">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spans="1:26" ht="14.25" customHeight="1" x14ac:dyDescent="0.35">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spans="1:26" ht="14.25" customHeight="1" x14ac:dyDescent="0.35">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spans="1:26" ht="14.25" customHeight="1" x14ac:dyDescent="0.35">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spans="1:26" ht="14.25" customHeight="1" x14ac:dyDescent="0.35">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spans="1:26" ht="14.25" customHeight="1" x14ac:dyDescent="0.35">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spans="1:26" ht="14.25" customHeight="1" x14ac:dyDescent="0.35">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spans="1:26" ht="14.25" customHeight="1" x14ac:dyDescent="0.35">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spans="1:26" ht="14.25" customHeight="1" x14ac:dyDescent="0.35">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spans="1:26" ht="14.25" customHeight="1" x14ac:dyDescent="0.35">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spans="1:26" ht="14.25" customHeight="1" x14ac:dyDescent="0.35">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spans="1:26" ht="14.25" customHeight="1" x14ac:dyDescent="0.35">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spans="1:26" ht="14.25" customHeight="1" x14ac:dyDescent="0.35">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spans="1:26" ht="14.25" customHeight="1" x14ac:dyDescent="0.35">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spans="1:26" ht="14.25" customHeight="1" x14ac:dyDescent="0.35">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spans="1:26" ht="14.25" customHeight="1" x14ac:dyDescent="0.35">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spans="1:26" ht="14.25" customHeight="1" x14ac:dyDescent="0.35">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spans="1:26" ht="14.25" customHeight="1" x14ac:dyDescent="0.35">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spans="1:26" ht="14.25" customHeight="1" x14ac:dyDescent="0.35">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spans="1:26" ht="14.25" customHeight="1" x14ac:dyDescent="0.35">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spans="1:26" ht="14.25" customHeight="1" x14ac:dyDescent="0.35">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spans="1:26" ht="14.25" customHeight="1" x14ac:dyDescent="0.35">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spans="1:26" ht="14.25" customHeight="1" x14ac:dyDescent="0.35">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spans="1:26" ht="14.25" customHeight="1" x14ac:dyDescent="0.35">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spans="1:26" ht="14.25" customHeight="1" x14ac:dyDescent="0.35">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spans="1:26" ht="14.25" customHeight="1" x14ac:dyDescent="0.35">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spans="1:26" ht="14.25" customHeight="1" x14ac:dyDescent="0.35">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spans="1:26" ht="14.25" customHeight="1" x14ac:dyDescent="0.35">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spans="1:26" ht="14.25" customHeight="1" x14ac:dyDescent="0.35">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spans="1:26" ht="14.25" customHeight="1" x14ac:dyDescent="0.35">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spans="1:26" ht="14.25" customHeight="1" x14ac:dyDescent="0.35">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spans="1:26" ht="14.25" customHeight="1" x14ac:dyDescent="0.35">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spans="1:26" ht="14.25" customHeight="1" x14ac:dyDescent="0.35">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spans="1:26" ht="14.25" customHeight="1" x14ac:dyDescent="0.35">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spans="1:26" ht="14.25" customHeight="1" x14ac:dyDescent="0.35">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spans="1:26" ht="14.25" customHeight="1" x14ac:dyDescent="0.35">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spans="1:26" ht="14.25" customHeight="1" x14ac:dyDescent="0.35">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spans="1:26" ht="14.25" customHeight="1" x14ac:dyDescent="0.35">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spans="1:26" ht="14.25" customHeight="1" x14ac:dyDescent="0.35">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spans="1:26" ht="14.25" customHeight="1" x14ac:dyDescent="0.35">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spans="1:26" ht="14.25" customHeight="1" x14ac:dyDescent="0.35">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spans="1:26" ht="14.25" customHeight="1" x14ac:dyDescent="0.35">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spans="1:26" ht="14.25" customHeight="1" x14ac:dyDescent="0.35">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spans="1:26" ht="14.25" customHeight="1" x14ac:dyDescent="0.35">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spans="1:26" ht="14.25" customHeight="1" x14ac:dyDescent="0.35">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spans="1:26" ht="14.25" customHeight="1" x14ac:dyDescent="0.35">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spans="1:26" ht="14.25" customHeight="1" x14ac:dyDescent="0.35">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spans="1:26" ht="14.25" customHeight="1" x14ac:dyDescent="0.35">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spans="1:26" ht="14.25" customHeight="1" x14ac:dyDescent="0.35">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spans="1:26" ht="14.25" customHeight="1" x14ac:dyDescent="0.35">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spans="1:26" ht="14.25" customHeight="1" x14ac:dyDescent="0.35">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spans="1:26" ht="14.25" customHeight="1" x14ac:dyDescent="0.35">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spans="1:26" ht="14.25" customHeight="1" x14ac:dyDescent="0.35">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spans="1:26" ht="14.25" customHeight="1" x14ac:dyDescent="0.35">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spans="1:26" ht="14.25" customHeight="1" x14ac:dyDescent="0.35">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spans="1:26" ht="14.25" customHeight="1" x14ac:dyDescent="0.35">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spans="1:26" ht="14.25" customHeight="1" x14ac:dyDescent="0.35">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spans="1:26" ht="14.25" customHeight="1" x14ac:dyDescent="0.35">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spans="1:26" ht="14.25" customHeight="1" x14ac:dyDescent="0.35">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spans="1:26" ht="14.25" customHeight="1" x14ac:dyDescent="0.35">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spans="1:26" ht="14.25" customHeight="1" x14ac:dyDescent="0.35">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spans="1:26" ht="14.25" customHeight="1" x14ac:dyDescent="0.35">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spans="1:26" ht="14.25" customHeight="1" x14ac:dyDescent="0.35">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spans="1:26" ht="14.25" customHeight="1" x14ac:dyDescent="0.35">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spans="1:26" ht="14.25" customHeight="1" x14ac:dyDescent="0.35">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spans="1:26" ht="14.25" customHeight="1" x14ac:dyDescent="0.35">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spans="1:26" ht="14.25" customHeight="1" x14ac:dyDescent="0.35">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spans="1:26" ht="14.25" customHeight="1" x14ac:dyDescent="0.35">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spans="1:26" ht="14.25" customHeight="1" x14ac:dyDescent="0.35">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spans="1:26" ht="14.25" customHeight="1" x14ac:dyDescent="0.35">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spans="1:26" ht="14.25" customHeight="1" x14ac:dyDescent="0.35">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spans="1:26" ht="14.25" customHeight="1" x14ac:dyDescent="0.35">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spans="1:26" ht="14.25" customHeight="1" x14ac:dyDescent="0.35">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spans="1:26" ht="14.25" customHeight="1" x14ac:dyDescent="0.35">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spans="1:26" ht="14.25" customHeight="1" x14ac:dyDescent="0.35">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spans="1:26" ht="14.25" customHeight="1" x14ac:dyDescent="0.35">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spans="1:26" ht="14.25" customHeight="1" x14ac:dyDescent="0.35">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spans="1:26" ht="14.25" customHeight="1" x14ac:dyDescent="0.35">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spans="1:26" ht="14.25" customHeight="1" x14ac:dyDescent="0.35">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spans="1:26" ht="14.25" customHeight="1" x14ac:dyDescent="0.35">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spans="1:26" ht="14.25" customHeight="1" x14ac:dyDescent="0.35">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spans="1:26" ht="14.25" customHeight="1" x14ac:dyDescent="0.35">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spans="1:26" ht="14.25" customHeight="1" x14ac:dyDescent="0.35">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spans="1:26" ht="14.25" customHeight="1" x14ac:dyDescent="0.35">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spans="1:26" ht="14.25" customHeight="1" x14ac:dyDescent="0.35">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spans="1:26" ht="14.25" customHeight="1" x14ac:dyDescent="0.35">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spans="1:26" ht="14.25" customHeight="1" x14ac:dyDescent="0.35">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spans="1:26" ht="14.25" customHeight="1" x14ac:dyDescent="0.35">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spans="1:26" ht="14.25" customHeight="1" x14ac:dyDescent="0.35">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spans="1:26" ht="14.25" customHeight="1" x14ac:dyDescent="0.35">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spans="1:26" ht="14.25" customHeight="1" x14ac:dyDescent="0.35">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spans="1:26" ht="14.25" customHeight="1" x14ac:dyDescent="0.35">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spans="1:26" ht="14.25" customHeight="1" x14ac:dyDescent="0.35">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spans="1:26" ht="14.25" customHeight="1" x14ac:dyDescent="0.35">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spans="1:26" ht="14.25" customHeight="1" x14ac:dyDescent="0.35">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spans="1:26" ht="14.25" customHeight="1" x14ac:dyDescent="0.35">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spans="1:26" ht="14.25" customHeight="1" x14ac:dyDescent="0.35">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spans="1:26" ht="14.25" customHeight="1" x14ac:dyDescent="0.35">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spans="1:26" ht="14.25" customHeight="1" x14ac:dyDescent="0.35">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spans="1:26" ht="14.25" customHeight="1" x14ac:dyDescent="0.35">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spans="1:26" ht="14.25" customHeight="1" x14ac:dyDescent="0.35">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spans="1:26" ht="14.25" customHeight="1" x14ac:dyDescent="0.35">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spans="1:26" ht="14.25" customHeight="1" x14ac:dyDescent="0.35">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spans="1:26" ht="14.25" customHeight="1" x14ac:dyDescent="0.35">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spans="1:26" ht="14.25" customHeight="1" x14ac:dyDescent="0.35">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spans="1:26" ht="14.25" customHeight="1" x14ac:dyDescent="0.35">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spans="1:26" ht="14.25" customHeight="1" x14ac:dyDescent="0.35">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spans="1:26" ht="14.25" customHeight="1" x14ac:dyDescent="0.35">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spans="1:26" ht="14.25" customHeight="1" x14ac:dyDescent="0.35">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spans="1:26" ht="14.25" customHeight="1" x14ac:dyDescent="0.35">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spans="1:26" ht="14.25" customHeight="1" x14ac:dyDescent="0.35">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spans="1:26" ht="14.25" customHeight="1" x14ac:dyDescent="0.35">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spans="1:26" ht="14.25" customHeight="1" x14ac:dyDescent="0.35">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spans="1:26" ht="14.25" customHeight="1" x14ac:dyDescent="0.35">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spans="1:26" ht="14.25" customHeight="1" x14ac:dyDescent="0.35">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spans="1:26" ht="14.25" customHeight="1" x14ac:dyDescent="0.35">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spans="1:26" ht="14.25" customHeight="1" x14ac:dyDescent="0.35">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spans="1:26" ht="14.25" customHeight="1" x14ac:dyDescent="0.35">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spans="1:26" ht="14.25" customHeight="1" x14ac:dyDescent="0.35">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spans="1:26" ht="14.25" customHeight="1" x14ac:dyDescent="0.35">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spans="1:26" ht="14.25" customHeight="1" x14ac:dyDescent="0.35">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spans="1:26" ht="14.25" customHeight="1" x14ac:dyDescent="0.35">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spans="1:26" ht="14.25" customHeight="1" x14ac:dyDescent="0.35">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spans="1:26" ht="14.25" customHeight="1" x14ac:dyDescent="0.35">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spans="1:26" ht="14.25" customHeight="1" x14ac:dyDescent="0.35">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spans="1:26" ht="14.25" customHeight="1" x14ac:dyDescent="0.35">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spans="1:26" ht="14.25" customHeight="1" x14ac:dyDescent="0.35">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spans="1:26" ht="14.25" customHeight="1" x14ac:dyDescent="0.35">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spans="1:26" ht="14.25" customHeight="1" x14ac:dyDescent="0.35">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spans="1:26" ht="14.25" customHeight="1" x14ac:dyDescent="0.35">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spans="1:26" ht="14.25" customHeight="1" x14ac:dyDescent="0.35">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spans="1:26" ht="14.25" customHeight="1" x14ac:dyDescent="0.35">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spans="1:26" ht="14.25" customHeight="1" x14ac:dyDescent="0.35">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spans="1:26" ht="14.25" customHeight="1" x14ac:dyDescent="0.35">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spans="1:26" ht="14.25" customHeight="1" x14ac:dyDescent="0.35">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spans="1:26" ht="14.25" customHeight="1" x14ac:dyDescent="0.35">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spans="1:26" ht="14.25" customHeight="1" x14ac:dyDescent="0.35">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spans="1:26" ht="14.25" customHeight="1" x14ac:dyDescent="0.35">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spans="1:26" ht="14.25" customHeight="1" x14ac:dyDescent="0.35">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spans="1:26" ht="14.25" customHeight="1" x14ac:dyDescent="0.35">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spans="1:26" ht="14.25" customHeight="1" x14ac:dyDescent="0.35">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spans="1:26" ht="14.25" customHeight="1" x14ac:dyDescent="0.35">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spans="1:26" ht="14.25" customHeight="1" x14ac:dyDescent="0.35">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spans="1:26" ht="14.25" customHeight="1" x14ac:dyDescent="0.35">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spans="1:26" ht="14.25" customHeight="1" x14ac:dyDescent="0.35">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spans="1:26" ht="14.25" customHeight="1" x14ac:dyDescent="0.35">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spans="1:26" ht="14.25" customHeight="1" x14ac:dyDescent="0.35">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spans="1:26" ht="14.25" customHeight="1" x14ac:dyDescent="0.35">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spans="1:26" ht="14.25" customHeight="1" x14ac:dyDescent="0.35">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spans="1:26" ht="14.25" customHeight="1" x14ac:dyDescent="0.35">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spans="1:26" ht="14.25" customHeight="1" x14ac:dyDescent="0.35">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spans="1:26" ht="14.25" customHeight="1" x14ac:dyDescent="0.35">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spans="1:26" ht="14.25" customHeight="1" x14ac:dyDescent="0.35">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spans="1:26" ht="14.25" customHeight="1" x14ac:dyDescent="0.35">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spans="1:26" ht="14.25" customHeight="1" x14ac:dyDescent="0.35">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spans="1:26" ht="14.25" customHeight="1" x14ac:dyDescent="0.35">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spans="1:26" ht="14.25" customHeight="1" x14ac:dyDescent="0.35">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spans="1:26" ht="14.25" customHeight="1" x14ac:dyDescent="0.35">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spans="1:26" ht="14.25" customHeight="1" x14ac:dyDescent="0.35">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spans="1:26" ht="14.25" customHeight="1" x14ac:dyDescent="0.35">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spans="1:26" ht="14.25" customHeight="1" x14ac:dyDescent="0.35">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spans="1:26" ht="14.25" customHeight="1" x14ac:dyDescent="0.35">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spans="1:26" ht="14.25" customHeight="1" x14ac:dyDescent="0.35">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spans="1:26" ht="14.25" customHeight="1" x14ac:dyDescent="0.35">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spans="1:26" ht="14.25" customHeight="1" x14ac:dyDescent="0.35">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spans="1:26" ht="14.25" customHeight="1" x14ac:dyDescent="0.35">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spans="1:26" ht="14.25" customHeight="1" x14ac:dyDescent="0.35">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spans="1:26" ht="14.25" customHeight="1" x14ac:dyDescent="0.35">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spans="1:26" ht="14.25" customHeight="1" x14ac:dyDescent="0.35">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spans="1:26" ht="14.25" customHeight="1" x14ac:dyDescent="0.35">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spans="1:26" ht="14.25" customHeight="1" x14ac:dyDescent="0.35">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spans="1:26" ht="14.25" customHeight="1" x14ac:dyDescent="0.35">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spans="1:26" ht="14.25" customHeight="1" x14ac:dyDescent="0.35">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spans="1:26" ht="14.25" customHeight="1" x14ac:dyDescent="0.35">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spans="1:26" ht="14.25" customHeight="1" x14ac:dyDescent="0.35">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spans="1:26" ht="14.25" customHeight="1" x14ac:dyDescent="0.35">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spans="1:26" ht="14.25" customHeight="1" x14ac:dyDescent="0.35">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spans="1:26" ht="14.25" customHeight="1" x14ac:dyDescent="0.35">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spans="1:26" ht="14.25" customHeight="1" x14ac:dyDescent="0.35">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spans="1:26" ht="14.25" customHeight="1" x14ac:dyDescent="0.35">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spans="1:26" ht="14.25" customHeight="1" x14ac:dyDescent="0.35">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spans="1:26" ht="14.25" customHeight="1" x14ac:dyDescent="0.35">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spans="1:26" ht="14.25" customHeight="1" x14ac:dyDescent="0.35">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spans="1:26" ht="14.25" customHeight="1" x14ac:dyDescent="0.35">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spans="1:26" ht="14.25" customHeight="1" x14ac:dyDescent="0.35">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spans="1:26" ht="14.25" customHeight="1" x14ac:dyDescent="0.35">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spans="1:26" ht="14.25" customHeight="1" x14ac:dyDescent="0.35">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spans="1:26" ht="14.25" customHeight="1" x14ac:dyDescent="0.35">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spans="1:26" ht="14.25" customHeight="1" x14ac:dyDescent="0.35">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spans="1:26" ht="14.25" customHeight="1" x14ac:dyDescent="0.35">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spans="1:26" ht="14.25" customHeight="1" x14ac:dyDescent="0.35">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spans="1:26" ht="14.25" customHeight="1" x14ac:dyDescent="0.35">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spans="1:26" ht="14.25" customHeight="1" x14ac:dyDescent="0.35">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spans="1:26" ht="14.25" customHeight="1" x14ac:dyDescent="0.35">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spans="1:26" ht="14.25" customHeight="1" x14ac:dyDescent="0.35">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spans="1:26" ht="14.25" customHeight="1" x14ac:dyDescent="0.35">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spans="1:26" ht="14.25" customHeight="1" x14ac:dyDescent="0.35">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spans="1:26" ht="14.25" customHeight="1" x14ac:dyDescent="0.35">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spans="1:26" ht="14.25" customHeight="1" x14ac:dyDescent="0.35">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spans="1:26" ht="14.25" customHeight="1" x14ac:dyDescent="0.35">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spans="1:26" ht="14.25" customHeight="1" x14ac:dyDescent="0.35">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spans="1:26" ht="14.25" customHeight="1" x14ac:dyDescent="0.35">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spans="1:26" ht="14.25" customHeight="1" x14ac:dyDescent="0.35">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spans="1:26" ht="14.25" customHeight="1" x14ac:dyDescent="0.35">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spans="1:26" ht="14.25" customHeight="1" x14ac:dyDescent="0.35">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spans="1:26" ht="14.25" customHeight="1" x14ac:dyDescent="0.35">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spans="1:26" ht="14.25" customHeight="1" x14ac:dyDescent="0.35">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spans="1:26" ht="14.25" customHeight="1" x14ac:dyDescent="0.35">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spans="1:26" ht="14.25" customHeight="1" x14ac:dyDescent="0.35">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spans="1:26" ht="14.25" customHeight="1" x14ac:dyDescent="0.35">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spans="1:26" ht="14.25" customHeight="1" x14ac:dyDescent="0.35">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spans="1:26" ht="14.25" customHeight="1" x14ac:dyDescent="0.35">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spans="1:26" ht="14.25" customHeight="1" x14ac:dyDescent="0.35">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spans="1:26" ht="14.25" customHeight="1" x14ac:dyDescent="0.35">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spans="1:26" ht="14.25" customHeight="1" x14ac:dyDescent="0.35">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spans="1:26" ht="14.25" customHeight="1" x14ac:dyDescent="0.35">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spans="1:26" ht="14.25" customHeight="1" x14ac:dyDescent="0.35">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spans="1:26" ht="14.25" customHeight="1" x14ac:dyDescent="0.35">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spans="1:26" ht="14.25" customHeight="1" x14ac:dyDescent="0.35">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spans="1:26" ht="14.25" customHeight="1" x14ac:dyDescent="0.35">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spans="1:26" ht="14.25" customHeight="1" x14ac:dyDescent="0.35">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spans="1:26" ht="14.25" customHeight="1" x14ac:dyDescent="0.35">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spans="1:26" ht="14.25" customHeight="1" x14ac:dyDescent="0.35">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spans="1:26" ht="14.25" customHeight="1" x14ac:dyDescent="0.35">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spans="1:26" ht="14.25" customHeight="1" x14ac:dyDescent="0.35">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spans="1:26" ht="14.25" customHeight="1" x14ac:dyDescent="0.35">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spans="1:26" ht="14.25" customHeight="1" x14ac:dyDescent="0.35">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spans="1:26" ht="14.25" customHeight="1" x14ac:dyDescent="0.35">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spans="1:26" ht="14.25" customHeight="1" x14ac:dyDescent="0.35">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spans="1:26" ht="14.25" customHeight="1" x14ac:dyDescent="0.35">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spans="1:26" ht="14.25" customHeight="1" x14ac:dyDescent="0.35">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spans="1:26" ht="14.25" customHeight="1" x14ac:dyDescent="0.35">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spans="1:26" ht="14.25" customHeight="1" x14ac:dyDescent="0.35">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spans="1:26" ht="14.25" customHeight="1" x14ac:dyDescent="0.35">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spans="1:26" ht="14.25" customHeight="1" x14ac:dyDescent="0.35">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spans="1:26" ht="14.25" customHeight="1" x14ac:dyDescent="0.35">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spans="1:26" ht="14.25" customHeight="1" x14ac:dyDescent="0.35">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spans="1:26" ht="14.25" customHeight="1" x14ac:dyDescent="0.35">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spans="1:26" ht="14.25" customHeight="1" x14ac:dyDescent="0.35">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spans="1:26" ht="14.25" customHeight="1" x14ac:dyDescent="0.35">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spans="1:26" ht="14.25" customHeight="1" x14ac:dyDescent="0.35">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spans="1:26" ht="14.25" customHeight="1" x14ac:dyDescent="0.35">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spans="1:26" ht="14.25" customHeight="1" x14ac:dyDescent="0.35">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spans="1:26" ht="14.25" customHeight="1" x14ac:dyDescent="0.35">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spans="1:26" ht="14.25" customHeight="1" x14ac:dyDescent="0.35">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spans="1:26" ht="14.25" customHeight="1" x14ac:dyDescent="0.35">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spans="1:26" ht="14.25" customHeight="1" x14ac:dyDescent="0.35">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spans="1:26" ht="14.25" customHeight="1" x14ac:dyDescent="0.35">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spans="1:26" ht="14.25" customHeight="1" x14ac:dyDescent="0.35">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spans="1:26" ht="14.25" customHeight="1" x14ac:dyDescent="0.35">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spans="1:26" ht="14.25" customHeight="1" x14ac:dyDescent="0.35">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spans="1:26" ht="14.25" customHeight="1" x14ac:dyDescent="0.35">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spans="1:26" ht="14.25" customHeight="1" x14ac:dyDescent="0.35">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spans="1:26" ht="14.25" customHeight="1" x14ac:dyDescent="0.35">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spans="1:26" ht="14.25" customHeight="1" x14ac:dyDescent="0.35">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spans="1:26" ht="14.25" customHeight="1" x14ac:dyDescent="0.35">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spans="1:26" ht="14.25" customHeight="1" x14ac:dyDescent="0.35">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spans="1:26" ht="14.25" customHeight="1" x14ac:dyDescent="0.35">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spans="1:26" ht="14.25" customHeight="1" x14ac:dyDescent="0.35">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spans="1:26" ht="14.25" customHeight="1" x14ac:dyDescent="0.35">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spans="1:26" ht="14.25" customHeight="1" x14ac:dyDescent="0.35">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spans="1:26" ht="14.25" customHeight="1" x14ac:dyDescent="0.35">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spans="1:26" ht="14.25" customHeight="1" x14ac:dyDescent="0.35">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spans="1:26" ht="14.25" customHeight="1" x14ac:dyDescent="0.35">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spans="1:26" ht="14.25" customHeight="1" x14ac:dyDescent="0.35">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spans="1:26" ht="14.25" customHeight="1" x14ac:dyDescent="0.35">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spans="1:26" ht="14.25" customHeight="1" x14ac:dyDescent="0.35">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spans="1:26" ht="14.25" customHeight="1" x14ac:dyDescent="0.35">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spans="1:26" ht="14.25" customHeight="1" x14ac:dyDescent="0.35">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spans="1:26" ht="14.25" customHeight="1" x14ac:dyDescent="0.35">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spans="1:26" ht="14.25" customHeight="1" x14ac:dyDescent="0.35">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spans="1:26" ht="14.25" customHeight="1" x14ac:dyDescent="0.35">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spans="1:26" ht="14.25" customHeight="1" x14ac:dyDescent="0.35">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spans="1:26" ht="14.25" customHeight="1" x14ac:dyDescent="0.35">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spans="1:26" ht="14.25" customHeight="1" x14ac:dyDescent="0.35">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spans="1:26" ht="14.25" customHeight="1" x14ac:dyDescent="0.35">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spans="1:26" ht="14.25" customHeight="1" x14ac:dyDescent="0.35">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spans="1:26" ht="14.25" customHeight="1" x14ac:dyDescent="0.35">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spans="1:26" ht="14.25" customHeight="1" x14ac:dyDescent="0.35">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spans="1:26" ht="14.25" customHeight="1" x14ac:dyDescent="0.35">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spans="1:26" ht="14.25" customHeight="1" x14ac:dyDescent="0.35">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spans="1:26" ht="14.25" customHeight="1" x14ac:dyDescent="0.35">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spans="1:26" ht="14.25" customHeight="1" x14ac:dyDescent="0.35">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spans="1:26" ht="14.25" customHeight="1" x14ac:dyDescent="0.35">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spans="1:26" ht="14.25" customHeight="1" x14ac:dyDescent="0.35">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spans="1:26" ht="14.25" customHeight="1" x14ac:dyDescent="0.35">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spans="1:26" ht="14.25" customHeight="1" x14ac:dyDescent="0.35">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spans="1:26" ht="14.25" customHeight="1" x14ac:dyDescent="0.35">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spans="1:26" ht="14.25" customHeight="1" x14ac:dyDescent="0.35">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spans="1:26" ht="14.25" customHeight="1" x14ac:dyDescent="0.35">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spans="1:26" ht="14.25" customHeight="1" x14ac:dyDescent="0.35">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spans="1:26" ht="14.25" customHeight="1" x14ac:dyDescent="0.35">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spans="1:26" ht="14.25" customHeight="1" x14ac:dyDescent="0.35">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spans="1:26" ht="14.25" customHeight="1" x14ac:dyDescent="0.35">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spans="1:26" ht="14.25" customHeight="1" x14ac:dyDescent="0.35">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spans="1:26" ht="14.25" customHeight="1" x14ac:dyDescent="0.35">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spans="1:26" ht="14.25" customHeight="1" x14ac:dyDescent="0.35">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spans="1:26" ht="14.25" customHeight="1" x14ac:dyDescent="0.35">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spans="1:26" ht="14.25" customHeight="1" x14ac:dyDescent="0.35">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spans="1:26" ht="14.25" customHeight="1" x14ac:dyDescent="0.35">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spans="1:26" ht="14.25" customHeight="1" x14ac:dyDescent="0.35">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spans="1:26" ht="14.25" customHeight="1" x14ac:dyDescent="0.35">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spans="1:26" ht="14.25" customHeight="1" x14ac:dyDescent="0.35">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spans="1:26" ht="14.25" customHeight="1" x14ac:dyDescent="0.35">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spans="1:26" ht="14.25" customHeight="1" x14ac:dyDescent="0.35">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spans="1:26" ht="14.25" customHeight="1" x14ac:dyDescent="0.35">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spans="1:26" ht="14.25" customHeight="1" x14ac:dyDescent="0.35">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spans="1:26" ht="14.25" customHeight="1" x14ac:dyDescent="0.35">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spans="1:26" ht="14.25" customHeight="1" x14ac:dyDescent="0.35">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spans="1:26" ht="14.25" customHeight="1" x14ac:dyDescent="0.35">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spans="1:26" ht="14.25" customHeight="1" x14ac:dyDescent="0.35">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spans="1:26" ht="14.25" customHeight="1" x14ac:dyDescent="0.35">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spans="1:26" ht="14.25" customHeight="1" x14ac:dyDescent="0.35">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spans="1:26" ht="14.25" customHeight="1" x14ac:dyDescent="0.35">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spans="1:26" ht="14.25" customHeight="1" x14ac:dyDescent="0.35">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spans="1:26" ht="14.25" customHeight="1" x14ac:dyDescent="0.35">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spans="1:26" ht="14.25" customHeight="1" x14ac:dyDescent="0.35">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spans="1:26" ht="14.25" customHeight="1" x14ac:dyDescent="0.35">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spans="1:26" ht="14.25" customHeight="1" x14ac:dyDescent="0.35">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spans="1:26" ht="14.25" customHeight="1" x14ac:dyDescent="0.35">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spans="1:26" ht="14.25" customHeight="1" x14ac:dyDescent="0.35">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spans="1:26" ht="14.25" customHeight="1" x14ac:dyDescent="0.35">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spans="1:26" ht="14.25" customHeight="1" x14ac:dyDescent="0.35">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spans="1:26" ht="14.25" customHeight="1" x14ac:dyDescent="0.35">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spans="1:26" ht="14.25" customHeight="1" x14ac:dyDescent="0.35">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spans="1:26" ht="14.25" customHeight="1" x14ac:dyDescent="0.35">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spans="1:26" ht="14.25" customHeight="1" x14ac:dyDescent="0.35">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spans="1:26" ht="14.25" customHeight="1" x14ac:dyDescent="0.35">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spans="1:26" ht="14.25" customHeight="1" x14ac:dyDescent="0.35">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spans="1:26" ht="14.25" customHeight="1" x14ac:dyDescent="0.35">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spans="1:26" ht="14.25" customHeight="1" x14ac:dyDescent="0.35">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spans="1:26" ht="14.25" customHeight="1" x14ac:dyDescent="0.35">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spans="1:26" ht="14.25" customHeight="1" x14ac:dyDescent="0.35">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spans="1:26" ht="14.25" customHeight="1" x14ac:dyDescent="0.35">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spans="1:26" ht="14.25" customHeight="1" x14ac:dyDescent="0.35">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spans="1:26" ht="14.25" customHeight="1" x14ac:dyDescent="0.35">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spans="1:26" ht="14.25" customHeight="1" x14ac:dyDescent="0.35">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spans="1:26" ht="14.25" customHeight="1" x14ac:dyDescent="0.35">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spans="1:26" ht="14.25" customHeight="1" x14ac:dyDescent="0.35">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spans="1:26" ht="14.25" customHeight="1" x14ac:dyDescent="0.35">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spans="1:26" ht="14.25" customHeight="1" x14ac:dyDescent="0.35">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spans="1:26" ht="14.25" customHeight="1" x14ac:dyDescent="0.35">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spans="1:26" ht="14.25" customHeight="1" x14ac:dyDescent="0.35">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spans="1:26" ht="14.25" customHeight="1" x14ac:dyDescent="0.35">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spans="1:26" ht="14.25" customHeight="1" x14ac:dyDescent="0.35">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spans="1:26" ht="14.25" customHeight="1" x14ac:dyDescent="0.35">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spans="1:26" ht="14.25" customHeight="1" x14ac:dyDescent="0.35">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spans="1:26" ht="14.25" customHeight="1" x14ac:dyDescent="0.35">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spans="1:26" ht="14.25" customHeight="1" x14ac:dyDescent="0.35">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spans="1:26" ht="14.25" customHeight="1" x14ac:dyDescent="0.35">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spans="1:26" ht="14.25" customHeight="1" x14ac:dyDescent="0.35">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spans="1:26" ht="14.25" customHeight="1" x14ac:dyDescent="0.35">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spans="1:26" ht="14.25" customHeight="1" x14ac:dyDescent="0.35">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spans="1:26" ht="14.25" customHeight="1" x14ac:dyDescent="0.35">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spans="1:26" ht="14.25" customHeight="1" x14ac:dyDescent="0.35">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spans="1:26" ht="14.25" customHeight="1" x14ac:dyDescent="0.35">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spans="1:26" ht="14.25" customHeight="1" x14ac:dyDescent="0.35">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spans="1:26" ht="14.25" customHeight="1" x14ac:dyDescent="0.35">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spans="1:26" ht="14.25" customHeight="1" x14ac:dyDescent="0.35">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spans="1:26" ht="14.25" customHeight="1" x14ac:dyDescent="0.35">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spans="1:26" ht="14.25" customHeight="1" x14ac:dyDescent="0.35">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spans="1:26" ht="14.25" customHeight="1" x14ac:dyDescent="0.35">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spans="1:26" ht="14.25" customHeight="1" x14ac:dyDescent="0.35">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spans="1:26" ht="14.25" customHeight="1" x14ac:dyDescent="0.35">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spans="1:26" ht="14.25" customHeight="1" x14ac:dyDescent="0.35">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spans="1:26" ht="14.25" customHeight="1" x14ac:dyDescent="0.35">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spans="1:26" ht="14.25" customHeight="1" x14ac:dyDescent="0.35">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spans="1:26" ht="14.25" customHeight="1" x14ac:dyDescent="0.35">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spans="1:26" ht="14.25" customHeight="1" x14ac:dyDescent="0.35">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spans="1:26" ht="14.25" customHeight="1" x14ac:dyDescent="0.35">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spans="1:26" ht="14.25" customHeight="1" x14ac:dyDescent="0.35">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spans="1:26" ht="14.25" customHeight="1" x14ac:dyDescent="0.35">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spans="1:26" ht="14.25" customHeight="1" x14ac:dyDescent="0.35">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spans="1:26" ht="14.25" customHeight="1" x14ac:dyDescent="0.35">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spans="1:26" ht="14.25" customHeight="1" x14ac:dyDescent="0.35">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spans="1:26" ht="14.25" customHeight="1" x14ac:dyDescent="0.35">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spans="1:26" ht="14.25" customHeight="1" x14ac:dyDescent="0.35">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spans="1:26" ht="14.25" customHeight="1" x14ac:dyDescent="0.35">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spans="1:26" ht="14.25" customHeight="1" x14ac:dyDescent="0.35">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spans="1:26" ht="14.25" customHeight="1" x14ac:dyDescent="0.35">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spans="1:26" ht="14.25" customHeight="1" x14ac:dyDescent="0.35">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spans="1:26" ht="14.25" customHeight="1" x14ac:dyDescent="0.35">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spans="1:26" ht="14.25" customHeight="1" x14ac:dyDescent="0.35">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spans="1:26" ht="14.25" customHeight="1" x14ac:dyDescent="0.35">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spans="1:26" ht="14.25" customHeight="1" x14ac:dyDescent="0.35">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spans="1:26" ht="14.25" customHeight="1" x14ac:dyDescent="0.35">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spans="1:26" ht="14.25" customHeight="1" x14ac:dyDescent="0.35">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spans="1:26" ht="14.25" customHeight="1" x14ac:dyDescent="0.35">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spans="1:26" ht="14.25" customHeight="1" x14ac:dyDescent="0.35">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spans="1:26" ht="14.25" customHeight="1" x14ac:dyDescent="0.35">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spans="1:26" ht="14.25" customHeight="1" x14ac:dyDescent="0.35">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spans="1:26" ht="14.25" customHeight="1" x14ac:dyDescent="0.35">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spans="1:26" ht="14.25" customHeight="1" x14ac:dyDescent="0.35">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spans="1:26" ht="14.25" customHeight="1" x14ac:dyDescent="0.35">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spans="1:26" ht="14.25" customHeight="1" x14ac:dyDescent="0.35">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spans="1:26" ht="14.25" customHeight="1" x14ac:dyDescent="0.35">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spans="1:26" ht="14.25" customHeight="1" x14ac:dyDescent="0.35">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spans="1:26" ht="14.25" customHeight="1" x14ac:dyDescent="0.35">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spans="1:26" ht="14.25" customHeight="1" x14ac:dyDescent="0.35">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spans="1:26" ht="14.25" customHeight="1" x14ac:dyDescent="0.35">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spans="1:26" ht="14.25" customHeight="1" x14ac:dyDescent="0.35">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spans="1:26" ht="14.25" customHeight="1" x14ac:dyDescent="0.35">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spans="1:26" ht="14.25" customHeight="1" x14ac:dyDescent="0.35">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spans="1:26" ht="14.25" customHeight="1" x14ac:dyDescent="0.35">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spans="1:26" ht="14.25" customHeight="1" x14ac:dyDescent="0.35">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spans="1:26" ht="14.25" customHeight="1" x14ac:dyDescent="0.35">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spans="1:26" ht="14.25" customHeight="1" x14ac:dyDescent="0.35">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spans="1:26" ht="14.25" customHeight="1" x14ac:dyDescent="0.35">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spans="1:26" ht="14.25" customHeight="1" x14ac:dyDescent="0.35">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spans="1:26" ht="14.25" customHeight="1" x14ac:dyDescent="0.35">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spans="1:26" ht="14.25" customHeight="1" x14ac:dyDescent="0.35">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spans="1:26" ht="14.25" customHeight="1" x14ac:dyDescent="0.35">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spans="1:26" ht="14.25" customHeight="1" x14ac:dyDescent="0.35">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spans="1:26" ht="14.25" customHeight="1" x14ac:dyDescent="0.35">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spans="1:26" ht="14.25" customHeight="1" x14ac:dyDescent="0.35">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spans="1:26" ht="14.25" customHeight="1" x14ac:dyDescent="0.35">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spans="1:26" ht="14.25" customHeight="1" x14ac:dyDescent="0.35">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spans="1:26" ht="14.25" customHeight="1" x14ac:dyDescent="0.35">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spans="1:26" ht="14.25" customHeight="1" x14ac:dyDescent="0.35">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spans="1:26" ht="14.25" customHeight="1" x14ac:dyDescent="0.35">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spans="1:26" ht="14.25" customHeight="1" x14ac:dyDescent="0.35">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spans="1:26" ht="14.25" customHeight="1" x14ac:dyDescent="0.35">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spans="1:26" ht="14.25" customHeight="1" x14ac:dyDescent="0.35">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spans="1:26" ht="14.25" customHeight="1" x14ac:dyDescent="0.35">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spans="1:26" ht="14.25" customHeight="1" x14ac:dyDescent="0.35">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spans="1:26" ht="14.25" customHeight="1" x14ac:dyDescent="0.35">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spans="1:26" ht="14.25" customHeight="1" x14ac:dyDescent="0.35">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spans="1:26" ht="14.25" customHeight="1" x14ac:dyDescent="0.35">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spans="1:26" ht="14.25" customHeight="1" x14ac:dyDescent="0.35">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spans="1:26" ht="14.25" customHeight="1" x14ac:dyDescent="0.35">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spans="1:26" ht="14.25" customHeight="1" x14ac:dyDescent="0.35">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spans="1:26" ht="14.25" customHeight="1" x14ac:dyDescent="0.35">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spans="1:26" ht="14.25" customHeight="1" x14ac:dyDescent="0.35">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spans="1:26" ht="14.25" customHeight="1" x14ac:dyDescent="0.35">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spans="1:26" ht="14.25" customHeight="1" x14ac:dyDescent="0.35">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spans="1:26" ht="14.25" customHeight="1" x14ac:dyDescent="0.35">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spans="1:26" ht="14.25" customHeight="1" x14ac:dyDescent="0.35">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spans="1:26" ht="14.25" customHeight="1" x14ac:dyDescent="0.35">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spans="1:26" ht="14.25" customHeight="1" x14ac:dyDescent="0.35">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spans="1:26" ht="14.25" customHeight="1" x14ac:dyDescent="0.35">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spans="1:26" ht="14.25" customHeight="1" x14ac:dyDescent="0.35">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spans="1:26" ht="14.25" customHeight="1" x14ac:dyDescent="0.35">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spans="1:26" ht="14.25" customHeight="1" x14ac:dyDescent="0.35">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spans="1:26" ht="14.25" customHeight="1" x14ac:dyDescent="0.35">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spans="1:26" ht="14.25" customHeight="1" x14ac:dyDescent="0.35">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spans="1:26" ht="14.25" customHeight="1" x14ac:dyDescent="0.35">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spans="1:26" ht="14.25" customHeight="1" x14ac:dyDescent="0.35">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spans="1:26" ht="14.25" customHeight="1" x14ac:dyDescent="0.35">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spans="1:26" ht="14.25" customHeight="1" x14ac:dyDescent="0.35">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spans="1:26" ht="14.25" customHeight="1" x14ac:dyDescent="0.35">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spans="1:26" ht="14.25" customHeight="1" x14ac:dyDescent="0.35">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spans="1:26" ht="14.25" customHeight="1" x14ac:dyDescent="0.35">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spans="1:26" ht="14.25" customHeight="1" x14ac:dyDescent="0.35">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spans="1:26" ht="14.25" customHeight="1" x14ac:dyDescent="0.35">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spans="1:26" ht="14.25" customHeight="1" x14ac:dyDescent="0.35">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spans="1:26" ht="14.25" customHeight="1" x14ac:dyDescent="0.35">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spans="1:26" ht="14.25" customHeight="1" x14ac:dyDescent="0.35">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spans="1:26" ht="14.25" customHeight="1" x14ac:dyDescent="0.35">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spans="1:26" ht="14.25" customHeight="1" x14ac:dyDescent="0.35">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spans="1:26" ht="14.25" customHeight="1" x14ac:dyDescent="0.35">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spans="1:26" ht="14.25" customHeight="1" x14ac:dyDescent="0.35">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spans="1:26" ht="14.25" customHeight="1" x14ac:dyDescent="0.35">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spans="1:26" ht="14.25" customHeight="1" x14ac:dyDescent="0.35">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spans="1:26" ht="14.25" customHeight="1" x14ac:dyDescent="0.35">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spans="1:26" ht="14.25" customHeight="1" x14ac:dyDescent="0.35">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spans="1:26" ht="14.25" customHeight="1" x14ac:dyDescent="0.35">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spans="1:26" ht="14.25" customHeight="1" x14ac:dyDescent="0.35">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spans="1:26" ht="14.25" customHeight="1" x14ac:dyDescent="0.35">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spans="1:26" ht="14.25" customHeight="1" x14ac:dyDescent="0.35">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spans="1:26" ht="14.25" customHeight="1" x14ac:dyDescent="0.35">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spans="1:26" ht="14.25" customHeight="1" x14ac:dyDescent="0.35">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spans="1:26" ht="14.25" customHeight="1" x14ac:dyDescent="0.35">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spans="1:26" ht="14.25" customHeight="1" x14ac:dyDescent="0.35">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spans="1:26" ht="14.25" customHeight="1" x14ac:dyDescent="0.35">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spans="1:26" ht="14.25" customHeight="1" x14ac:dyDescent="0.35">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spans="1:26" ht="14.25" customHeight="1" x14ac:dyDescent="0.35">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spans="1:26" ht="14.25" customHeight="1" x14ac:dyDescent="0.35">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spans="1:26" ht="14.25" customHeight="1" x14ac:dyDescent="0.35">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spans="1:26" ht="14.25" customHeight="1" x14ac:dyDescent="0.35">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spans="1:26" ht="14.25" customHeight="1" x14ac:dyDescent="0.35">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spans="1:26" ht="14.25" customHeight="1" x14ac:dyDescent="0.35">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spans="1:26" ht="14.25" customHeight="1" x14ac:dyDescent="0.35">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spans="1:26" ht="14.25" customHeight="1" x14ac:dyDescent="0.35">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spans="1:26" ht="14.25" customHeight="1" x14ac:dyDescent="0.35">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spans="1:26" ht="14.25" customHeight="1" x14ac:dyDescent="0.35">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spans="1:26" ht="14.25" customHeight="1" x14ac:dyDescent="0.35">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spans="1:26" ht="14.25" customHeight="1" x14ac:dyDescent="0.35">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spans="1:26" ht="14.25" customHeight="1" x14ac:dyDescent="0.35">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spans="1:26" ht="14.25" customHeight="1" x14ac:dyDescent="0.35">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spans="1:26" ht="14.25" customHeight="1" x14ac:dyDescent="0.35">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spans="1:26" ht="14.25" customHeight="1" x14ac:dyDescent="0.35">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spans="1:26" ht="14.25" customHeight="1" x14ac:dyDescent="0.35">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spans="1:26" ht="14.25" customHeight="1" x14ac:dyDescent="0.35">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spans="1:26" ht="14.25" customHeight="1" x14ac:dyDescent="0.35">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spans="1:26" ht="14.25" customHeight="1" x14ac:dyDescent="0.35">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spans="1:26" ht="14.25" customHeight="1" x14ac:dyDescent="0.35">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spans="1:26" ht="14.25" customHeight="1" x14ac:dyDescent="0.35">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spans="1:26" ht="14.25" customHeight="1" x14ac:dyDescent="0.35">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spans="1:26" ht="14.25" customHeight="1" x14ac:dyDescent="0.35">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spans="1:26" ht="14.25" customHeight="1" x14ac:dyDescent="0.35">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spans="1:26" ht="14.25" customHeight="1" x14ac:dyDescent="0.35">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spans="1:26" ht="14.25" customHeight="1" x14ac:dyDescent="0.35">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spans="1:26" ht="14.25" customHeight="1" x14ac:dyDescent="0.35">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spans="1:26" ht="14.25" customHeight="1" x14ac:dyDescent="0.35">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spans="1:26" ht="14.25" customHeight="1" x14ac:dyDescent="0.35">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spans="1:26" ht="14.25" customHeight="1" x14ac:dyDescent="0.35">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spans="1:26" ht="14.25" customHeight="1" x14ac:dyDescent="0.35">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spans="1:26" ht="14.25" customHeight="1" x14ac:dyDescent="0.35">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spans="1:26" ht="14.25" customHeight="1" x14ac:dyDescent="0.35">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spans="1:26" ht="14.25" customHeight="1" x14ac:dyDescent="0.35">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spans="1:26" ht="14.25" customHeight="1" x14ac:dyDescent="0.35">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spans="1:26" ht="14.25" customHeight="1" x14ac:dyDescent="0.35">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spans="1:26" ht="14.25" customHeight="1" x14ac:dyDescent="0.35">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spans="1:26" ht="14.25" customHeight="1" x14ac:dyDescent="0.35">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spans="1:26" ht="14.25" customHeight="1" x14ac:dyDescent="0.35">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spans="1:26" ht="14.25" customHeight="1" x14ac:dyDescent="0.35">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spans="1:26" ht="14.25" customHeight="1" x14ac:dyDescent="0.35">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spans="1:26" ht="14.25" customHeight="1" x14ac:dyDescent="0.35">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spans="1:26" ht="14.25" customHeight="1" x14ac:dyDescent="0.35">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spans="1:26" ht="14.25" customHeight="1" x14ac:dyDescent="0.35">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spans="1:26" ht="14.25" customHeight="1" x14ac:dyDescent="0.35">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spans="1:26" ht="14.25" customHeight="1" x14ac:dyDescent="0.35">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spans="1:26" ht="14.25" customHeight="1" x14ac:dyDescent="0.35">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spans="1:26" ht="14.25" customHeight="1" x14ac:dyDescent="0.35">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spans="1:26" ht="14.25" customHeight="1" x14ac:dyDescent="0.35">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spans="1:26" ht="14.25" customHeight="1" x14ac:dyDescent="0.35">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spans="1:26" ht="14.25" customHeight="1" x14ac:dyDescent="0.35">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spans="1:26" ht="14.25" customHeight="1" x14ac:dyDescent="0.35">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spans="1:26" ht="14.25" customHeight="1" x14ac:dyDescent="0.35">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spans="1:26" ht="14.25" customHeight="1" x14ac:dyDescent="0.35">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spans="1:26" ht="14.25" customHeight="1" x14ac:dyDescent="0.35">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spans="1:26" ht="14.25" customHeight="1" x14ac:dyDescent="0.35">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spans="1:26" ht="14.25" customHeight="1" x14ac:dyDescent="0.35">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spans="1:26" ht="14.25" customHeight="1" x14ac:dyDescent="0.35">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spans="1:26" ht="14.25" customHeight="1" x14ac:dyDescent="0.35">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spans="1:26" ht="14.25" customHeight="1" x14ac:dyDescent="0.35">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spans="1:26" ht="14.25" customHeight="1" x14ac:dyDescent="0.35">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spans="1:26" ht="14.25" customHeight="1" x14ac:dyDescent="0.35">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spans="1:26" ht="14.25" customHeight="1" x14ac:dyDescent="0.35">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spans="1:26" ht="14.25" customHeight="1" x14ac:dyDescent="0.35">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spans="1:26" ht="14.25" customHeight="1" x14ac:dyDescent="0.35">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spans="1:26" ht="14.25" customHeight="1" x14ac:dyDescent="0.35">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spans="1:26" ht="14.25" customHeight="1" x14ac:dyDescent="0.35">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spans="1:26" ht="14.25" customHeight="1" x14ac:dyDescent="0.35">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spans="1:26" ht="14.25" customHeight="1" x14ac:dyDescent="0.35">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spans="1:26" ht="14.25" customHeight="1" x14ac:dyDescent="0.35">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spans="1:26" ht="14.25" customHeight="1" x14ac:dyDescent="0.35">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spans="1:26" ht="14.25" customHeight="1" x14ac:dyDescent="0.35">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spans="1:26" ht="14.25" customHeight="1" x14ac:dyDescent="0.35">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spans="1:26" ht="14.25" customHeight="1" x14ac:dyDescent="0.35">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spans="1:26" ht="14.25" customHeight="1" x14ac:dyDescent="0.35">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spans="1:26" ht="14.25" customHeight="1" x14ac:dyDescent="0.35">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spans="1:26" ht="14.25" customHeight="1" x14ac:dyDescent="0.35">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spans="1:26" ht="14.25" customHeight="1" x14ac:dyDescent="0.35">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spans="1:26" ht="14.25" customHeight="1" x14ac:dyDescent="0.35">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spans="1:26" ht="14.25" customHeight="1" x14ac:dyDescent="0.35">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spans="1:26" ht="14.25" customHeight="1" x14ac:dyDescent="0.35">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spans="1:26" ht="14.25" customHeight="1" x14ac:dyDescent="0.35">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spans="1:26" ht="14.25" customHeight="1" x14ac:dyDescent="0.35">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spans="1:26" ht="14.25" customHeight="1" x14ac:dyDescent="0.35">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spans="1:26" ht="14.25" customHeight="1" x14ac:dyDescent="0.35">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spans="1:26" ht="14.25" customHeight="1" x14ac:dyDescent="0.35">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spans="1:26" ht="14.25" customHeight="1" x14ac:dyDescent="0.35">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spans="1:26" ht="14.25" customHeight="1" x14ac:dyDescent="0.35">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spans="1:26" ht="14.25" customHeight="1" x14ac:dyDescent="0.35">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spans="1:26" ht="14.25" customHeight="1" x14ac:dyDescent="0.35">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spans="1:26" ht="14.25" customHeight="1" x14ac:dyDescent="0.35">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spans="1:26" ht="14.25" customHeight="1" x14ac:dyDescent="0.35">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spans="1:26" ht="14.25" customHeight="1" x14ac:dyDescent="0.35">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spans="1:26" ht="14.25" customHeight="1" x14ac:dyDescent="0.35">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spans="1:26" ht="14.25" customHeight="1" x14ac:dyDescent="0.35">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spans="1:26" ht="14.25" customHeight="1" x14ac:dyDescent="0.35">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spans="1:26" ht="14.25" customHeight="1" x14ac:dyDescent="0.35">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spans="1:26" ht="14.25" customHeight="1" x14ac:dyDescent="0.35">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spans="1:26" ht="14.25" customHeight="1" x14ac:dyDescent="0.35">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spans="1:26" ht="14.25" customHeight="1" x14ac:dyDescent="0.35">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spans="1:26" ht="14.25" customHeight="1" x14ac:dyDescent="0.35">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spans="1:26" ht="14.25" customHeight="1" x14ac:dyDescent="0.35">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spans="1:26" ht="14.25" customHeight="1" x14ac:dyDescent="0.35">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spans="1:26" ht="14.25" customHeight="1" x14ac:dyDescent="0.35">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spans="1:26" ht="14.25" customHeight="1" x14ac:dyDescent="0.35">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spans="1:26" ht="14.25" customHeight="1" x14ac:dyDescent="0.35">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spans="1:26" ht="14.25" customHeight="1" x14ac:dyDescent="0.35">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spans="1:26" ht="14.25" customHeight="1" x14ac:dyDescent="0.35">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spans="1:26" ht="14.25" customHeight="1" x14ac:dyDescent="0.35">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spans="1:26" ht="14.25" customHeight="1" x14ac:dyDescent="0.35">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spans="1:26" ht="14.25" customHeight="1" x14ac:dyDescent="0.35">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spans="1:26" ht="14.25" customHeight="1" x14ac:dyDescent="0.35">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spans="1:26" ht="14.25" customHeight="1" x14ac:dyDescent="0.35">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spans="1:26" ht="14.25" customHeight="1" x14ac:dyDescent="0.35">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spans="1:26" ht="14.25" customHeight="1" x14ac:dyDescent="0.35">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spans="1:26" ht="14.25" customHeight="1" x14ac:dyDescent="0.35">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spans="1:26" ht="14.25" customHeight="1" x14ac:dyDescent="0.35">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spans="1:26" ht="14.25" customHeight="1" x14ac:dyDescent="0.35">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spans="1:26" ht="14.25" customHeight="1" x14ac:dyDescent="0.35">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spans="1:26" ht="14.25" customHeight="1" x14ac:dyDescent="0.35">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spans="1:26" ht="14.25" customHeight="1" x14ac:dyDescent="0.35">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spans="1:26" ht="14.25" customHeight="1" x14ac:dyDescent="0.35">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spans="1:26" ht="14.25" customHeight="1" x14ac:dyDescent="0.35">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spans="1:26" ht="14.25" customHeight="1" x14ac:dyDescent="0.35">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spans="1:26" ht="14.25" customHeight="1" x14ac:dyDescent="0.35">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spans="1:26" ht="14.25" customHeight="1" x14ac:dyDescent="0.35">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spans="1:26" ht="14.25" customHeight="1" x14ac:dyDescent="0.35">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spans="1:26" ht="14.25" customHeight="1" x14ac:dyDescent="0.35">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spans="1:26" ht="14.25" customHeight="1" x14ac:dyDescent="0.35">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spans="1:26" ht="14.25" customHeight="1" x14ac:dyDescent="0.35">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spans="1:26" ht="14.25" customHeight="1" x14ac:dyDescent="0.35">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spans="1:26" ht="14.25" customHeight="1" x14ac:dyDescent="0.35">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spans="1:26" ht="14.25" customHeight="1" x14ac:dyDescent="0.35">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spans="1:26" ht="14.25" customHeight="1" x14ac:dyDescent="0.35">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spans="1:26" ht="14.25" customHeight="1" x14ac:dyDescent="0.35">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spans="1:26" ht="14.25" customHeight="1" x14ac:dyDescent="0.35">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spans="1:26" ht="14.25" customHeight="1" x14ac:dyDescent="0.35">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spans="1:26" ht="14.25" customHeight="1" x14ac:dyDescent="0.35">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spans="1:26" ht="14.25" customHeight="1" x14ac:dyDescent="0.35">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spans="1:26" ht="14.25" customHeight="1" x14ac:dyDescent="0.35">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spans="1:26" ht="14.25" customHeight="1" x14ac:dyDescent="0.35">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spans="1:26" ht="14.25" customHeight="1" x14ac:dyDescent="0.35">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spans="1:26" ht="14.25" customHeight="1" x14ac:dyDescent="0.35">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spans="1:26" ht="14.25" customHeight="1" x14ac:dyDescent="0.35">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spans="1:26" ht="14.25" customHeight="1" x14ac:dyDescent="0.35">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spans="1:26" ht="14.25" customHeight="1" x14ac:dyDescent="0.35">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spans="1:26" ht="14.25" customHeight="1" x14ac:dyDescent="0.35">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spans="1:26" ht="14.25" customHeight="1" x14ac:dyDescent="0.35">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pageMargins left="0.7" right="1.7" top="0.75" bottom="0.75" header="0" footer="0"/>
  <pageSetup orientation="landscape"/>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5173A-827E-4A56-9F99-4FA32C968ECF}">
  <dimension ref="A3:N14"/>
  <sheetViews>
    <sheetView zoomScale="55" zoomScaleNormal="55" workbookViewId="0">
      <selection activeCell="A4" sqref="A4"/>
    </sheetView>
  </sheetViews>
  <sheetFormatPr defaultRowHeight="14.5" x14ac:dyDescent="0.35"/>
  <cols>
    <col min="1" max="1" width="30.54296875" bestFit="1" customWidth="1"/>
    <col min="2" max="2" width="7.54296875" customWidth="1"/>
    <col min="3" max="3" width="7.81640625" customWidth="1"/>
    <col min="4" max="4" width="26.7265625" customWidth="1"/>
    <col min="5" max="5" width="8.453125" customWidth="1"/>
    <col min="6" max="6" width="25.1796875" customWidth="1"/>
    <col min="7" max="7" width="15.453125" bestFit="1" customWidth="1"/>
    <col min="8" max="8" width="23.08984375" bestFit="1" customWidth="1"/>
    <col min="10" max="10" width="17.453125" bestFit="1" customWidth="1"/>
    <col min="11" max="11" width="23.08984375" bestFit="1" customWidth="1"/>
    <col min="13" max="13" width="15.453125" bestFit="1" customWidth="1"/>
    <col min="14" max="14" width="23.08984375" bestFit="1" customWidth="1"/>
  </cols>
  <sheetData>
    <row r="3" spans="1:14" x14ac:dyDescent="0.35">
      <c r="A3" s="10" t="s">
        <v>64</v>
      </c>
      <c r="B3" s="9"/>
      <c r="G3" s="10" t="s">
        <v>69</v>
      </c>
      <c r="H3" s="9" t="s">
        <v>63</v>
      </c>
      <c r="J3" s="10" t="s">
        <v>69</v>
      </c>
      <c r="K3" s="9" t="s">
        <v>63</v>
      </c>
      <c r="M3" s="10" t="s">
        <v>69</v>
      </c>
      <c r="N3" s="9" t="s">
        <v>63</v>
      </c>
    </row>
    <row r="4" spans="1:14" x14ac:dyDescent="0.35">
      <c r="A4" s="11" t="s">
        <v>63</v>
      </c>
      <c r="B4" s="16">
        <v>41</v>
      </c>
      <c r="C4" s="24"/>
      <c r="D4" s="26" t="s">
        <v>63</v>
      </c>
      <c r="E4" s="27">
        <f>GETPIVOTDATA("Sum of Total Employees",$A$3)</f>
        <v>41</v>
      </c>
      <c r="G4" s="11" t="s">
        <v>18</v>
      </c>
      <c r="H4" s="14">
        <v>11</v>
      </c>
      <c r="J4" s="11" t="s">
        <v>11</v>
      </c>
      <c r="K4" s="16">
        <v>41</v>
      </c>
      <c r="M4" s="11" t="s">
        <v>48</v>
      </c>
      <c r="N4" s="16">
        <v>15</v>
      </c>
    </row>
    <row r="5" spans="1:14" x14ac:dyDescent="0.35">
      <c r="A5" s="12" t="s">
        <v>65</v>
      </c>
      <c r="B5" s="17">
        <v>6166</v>
      </c>
      <c r="C5" s="24"/>
      <c r="D5" s="26" t="s">
        <v>65</v>
      </c>
      <c r="E5" s="28">
        <f>GETPIVOTDATA("Average of Salary",$A$3)</f>
        <v>6166</v>
      </c>
      <c r="G5" s="12" t="s">
        <v>26</v>
      </c>
      <c r="H5" s="15">
        <v>15</v>
      </c>
      <c r="J5" s="12" t="s">
        <v>17</v>
      </c>
      <c r="K5" s="17">
        <v>38</v>
      </c>
      <c r="M5" s="12" t="s">
        <v>27</v>
      </c>
      <c r="N5" s="17">
        <v>15</v>
      </c>
    </row>
    <row r="6" spans="1:14" x14ac:dyDescent="0.35">
      <c r="A6" s="13" t="s">
        <v>66</v>
      </c>
      <c r="B6" s="18">
        <v>11.666666666666666</v>
      </c>
      <c r="C6" s="24"/>
      <c r="D6" s="26" t="s">
        <v>66</v>
      </c>
      <c r="E6" s="29">
        <f>GETPIVOTDATA("Average of Tenure (Years)",$A$3)</f>
        <v>11.666666666666666</v>
      </c>
      <c r="G6" s="12" t="s">
        <v>46</v>
      </c>
      <c r="H6" s="15">
        <v>15</v>
      </c>
      <c r="J6" s="12" t="s">
        <v>20</v>
      </c>
      <c r="K6" s="17">
        <v>28</v>
      </c>
      <c r="M6" s="12" t="s">
        <v>21</v>
      </c>
      <c r="N6" s="17">
        <v>11</v>
      </c>
    </row>
    <row r="7" spans="1:14" x14ac:dyDescent="0.35">
      <c r="G7" s="22" t="s">
        <v>70</v>
      </c>
      <c r="H7" s="19">
        <v>41</v>
      </c>
      <c r="J7" s="12" t="s">
        <v>14</v>
      </c>
      <c r="K7" s="17">
        <v>31</v>
      </c>
      <c r="M7" s="22" t="s">
        <v>70</v>
      </c>
      <c r="N7" s="23">
        <v>41</v>
      </c>
    </row>
    <row r="8" spans="1:14" x14ac:dyDescent="0.35">
      <c r="A8" s="10" t="s">
        <v>64</v>
      </c>
      <c r="B8" s="20"/>
      <c r="C8" s="25"/>
      <c r="D8" s="25"/>
      <c r="E8" s="25"/>
      <c r="J8" s="22" t="s">
        <v>70</v>
      </c>
      <c r="K8" s="23">
        <v>138</v>
      </c>
    </row>
    <row r="9" spans="1:14" x14ac:dyDescent="0.35">
      <c r="A9" s="11" t="s">
        <v>67</v>
      </c>
      <c r="B9" s="20">
        <v>0.46763252745045158</v>
      </c>
      <c r="C9" s="25"/>
      <c r="D9" s="26" t="s">
        <v>67</v>
      </c>
      <c r="E9" s="30">
        <f>GETPIVOTDATA("Average of Job Satisfaction %",$A$8)</f>
        <v>0.46763252745045158</v>
      </c>
    </row>
    <row r="10" spans="1:14" x14ac:dyDescent="0.35">
      <c r="A10" s="13" t="s">
        <v>68</v>
      </c>
      <c r="B10" s="21">
        <v>0.53236747254954853</v>
      </c>
      <c r="C10" s="25"/>
      <c r="D10" s="26" t="s">
        <v>68</v>
      </c>
      <c r="E10" s="30">
        <f>GETPIVOTDATA("Average of Job Unsatisfaction %",$A$8)</f>
        <v>0.53236747254954853</v>
      </c>
    </row>
    <row r="11" spans="1:14" x14ac:dyDescent="0.35">
      <c r="J11" s="26" t="s">
        <v>11</v>
      </c>
      <c r="K11" s="31">
        <f>GETPIVOTDATA("Total Employees",$J$3,"Job Title","Analyst")</f>
        <v>41</v>
      </c>
    </row>
    <row r="12" spans="1:14" x14ac:dyDescent="0.35">
      <c r="J12" s="26" t="s">
        <v>17</v>
      </c>
      <c r="K12" s="31">
        <f>GETPIVOTDATA("Total Employees",$J$3,"Job Title","Manager")</f>
        <v>38</v>
      </c>
    </row>
    <row r="13" spans="1:14" x14ac:dyDescent="0.35">
      <c r="J13" s="26" t="s">
        <v>20</v>
      </c>
      <c r="K13" s="31">
        <f>GETPIVOTDATA("Total Employees",$J$3,"Job Title","Security")</f>
        <v>28</v>
      </c>
    </row>
    <row r="14" spans="1:14" x14ac:dyDescent="0.35">
      <c r="J14" s="26" t="s">
        <v>14</v>
      </c>
      <c r="K14" s="31">
        <f>GETPIVOTDATA("Total Employees",$J$3,"Job Title","Technical Support")</f>
        <v>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1000"/>
  <sheetViews>
    <sheetView zoomScale="55" zoomScaleNormal="55" workbookViewId="0">
      <pane ySplit="1" topLeftCell="A2" activePane="bottomLeft" state="frozen"/>
      <selection pane="bottomLeft" sqref="A1:I33"/>
    </sheetView>
  </sheetViews>
  <sheetFormatPr defaultColWidth="14.453125" defaultRowHeight="15" customHeight="1" x14ac:dyDescent="0.35"/>
  <cols>
    <col min="1" max="1" width="8.08984375" customWidth="1"/>
    <col min="2" max="2" width="5.81640625" customWidth="1"/>
    <col min="3" max="3" width="13.7265625" customWidth="1"/>
    <col min="4" max="4" width="19.08984375" customWidth="1"/>
    <col min="5" max="5" width="19" customWidth="1"/>
    <col min="6" max="6" width="7.81640625" customWidth="1"/>
    <col min="7" max="7" width="17" customWidth="1"/>
    <col min="8" max="8" width="20.54296875" customWidth="1"/>
    <col min="9" max="9" width="23.7265625" customWidth="1"/>
    <col min="10" max="26" width="8.7265625" customWidth="1"/>
  </cols>
  <sheetData>
    <row r="1" spans="1:9" ht="14.25" customHeight="1" x14ac:dyDescent="0.35">
      <c r="A1" s="1" t="s">
        <v>0</v>
      </c>
      <c r="B1" s="1" t="s">
        <v>1</v>
      </c>
      <c r="C1" s="1" t="s">
        <v>2</v>
      </c>
      <c r="D1" s="1" t="s">
        <v>3</v>
      </c>
      <c r="E1" s="1" t="s">
        <v>4</v>
      </c>
      <c r="F1" s="1" t="s">
        <v>5</v>
      </c>
      <c r="G1" s="2" t="s">
        <v>6</v>
      </c>
      <c r="H1" s="2" t="s">
        <v>7</v>
      </c>
      <c r="I1" s="2" t="s">
        <v>8</v>
      </c>
    </row>
    <row r="2" spans="1:9" ht="14.25" customHeight="1" x14ac:dyDescent="0.35">
      <c r="A2" s="3" t="s">
        <v>9</v>
      </c>
      <c r="B2" s="3">
        <v>2022</v>
      </c>
      <c r="C2" s="3" t="s">
        <v>10</v>
      </c>
      <c r="D2" s="3" t="s">
        <v>11</v>
      </c>
      <c r="E2" s="3">
        <v>10</v>
      </c>
      <c r="F2" s="4">
        <v>4091</v>
      </c>
      <c r="G2" s="5">
        <v>7</v>
      </c>
      <c r="H2" s="6">
        <v>0.91924637245536589</v>
      </c>
      <c r="I2" s="6">
        <v>8.075362754463411E-2</v>
      </c>
    </row>
    <row r="3" spans="1:9" ht="14.25" customHeight="1" x14ac:dyDescent="0.35">
      <c r="A3" s="3" t="s">
        <v>12</v>
      </c>
      <c r="B3" s="3">
        <v>2022</v>
      </c>
      <c r="C3" s="3" t="s">
        <v>13</v>
      </c>
      <c r="D3" s="3" t="s">
        <v>14</v>
      </c>
      <c r="E3" s="3">
        <v>9</v>
      </c>
      <c r="F3" s="4">
        <v>5426</v>
      </c>
      <c r="G3" s="5">
        <v>10</v>
      </c>
      <c r="H3" s="6">
        <v>0.68210643699842555</v>
      </c>
      <c r="I3" s="6">
        <v>0.31789356300157445</v>
      </c>
    </row>
    <row r="4" spans="1:9" ht="14.25" customHeight="1" x14ac:dyDescent="0.35">
      <c r="A4" s="3" t="s">
        <v>15</v>
      </c>
      <c r="B4" s="3">
        <v>2022</v>
      </c>
      <c r="C4" s="3" t="s">
        <v>16</v>
      </c>
      <c r="D4" s="3" t="s">
        <v>17</v>
      </c>
      <c r="E4" s="3">
        <v>11</v>
      </c>
      <c r="F4" s="4">
        <v>3750</v>
      </c>
      <c r="G4" s="5">
        <v>6</v>
      </c>
      <c r="H4" s="6">
        <v>0.5114082047966152</v>
      </c>
      <c r="I4" s="6">
        <v>0.4885917952033848</v>
      </c>
    </row>
    <row r="5" spans="1:9" ht="14.25" customHeight="1" x14ac:dyDescent="0.35">
      <c r="A5" s="3" t="s">
        <v>18</v>
      </c>
      <c r="B5" s="3">
        <v>2022</v>
      </c>
      <c r="C5" s="3" t="s">
        <v>19</v>
      </c>
      <c r="D5" s="3" t="s">
        <v>20</v>
      </c>
      <c r="E5" s="3">
        <v>10</v>
      </c>
      <c r="F5" s="4">
        <v>3303</v>
      </c>
      <c r="G5" s="5">
        <v>9</v>
      </c>
      <c r="H5" s="6">
        <v>0.86008647452233189</v>
      </c>
      <c r="I5" s="6">
        <v>0.13991352547766811</v>
      </c>
    </row>
    <row r="6" spans="1:9" ht="14.25" customHeight="1" x14ac:dyDescent="0.35">
      <c r="A6" s="3" t="s">
        <v>18</v>
      </c>
      <c r="B6" s="3">
        <v>2023</v>
      </c>
      <c r="C6" s="3" t="s">
        <v>21</v>
      </c>
      <c r="D6" s="3" t="s">
        <v>11</v>
      </c>
      <c r="E6" s="3">
        <v>11</v>
      </c>
      <c r="F6" s="4">
        <v>1222</v>
      </c>
      <c r="G6" s="5">
        <v>9</v>
      </c>
      <c r="H6" s="6">
        <v>0.12605476052252018</v>
      </c>
      <c r="I6" s="6">
        <v>0.87394523947747982</v>
      </c>
    </row>
    <row r="7" spans="1:9" ht="14.25" customHeight="1" x14ac:dyDescent="0.35">
      <c r="A7" s="3" t="s">
        <v>18</v>
      </c>
      <c r="B7" s="3">
        <v>2023</v>
      </c>
      <c r="C7" s="3" t="s">
        <v>22</v>
      </c>
      <c r="D7" s="3" t="s">
        <v>14</v>
      </c>
      <c r="E7" s="3">
        <v>14</v>
      </c>
      <c r="F7" s="4">
        <v>3042</v>
      </c>
      <c r="G7" s="5">
        <v>6</v>
      </c>
      <c r="H7" s="6">
        <v>0.99085145279074383</v>
      </c>
      <c r="I7" s="6">
        <v>9.1485472092561748E-3</v>
      </c>
    </row>
    <row r="8" spans="1:9" ht="14.25" customHeight="1" x14ac:dyDescent="0.35">
      <c r="A8" s="3" t="s">
        <v>23</v>
      </c>
      <c r="B8" s="3">
        <v>2023</v>
      </c>
      <c r="C8" s="3" t="s">
        <v>24</v>
      </c>
      <c r="D8" s="3" t="s">
        <v>17</v>
      </c>
      <c r="E8" s="3">
        <v>11</v>
      </c>
      <c r="F8" s="4">
        <v>1042</v>
      </c>
      <c r="G8" s="5">
        <v>15</v>
      </c>
      <c r="H8" s="6">
        <v>0.83918061515936171</v>
      </c>
      <c r="I8" s="6">
        <v>0.16081938484063829</v>
      </c>
    </row>
    <row r="9" spans="1:9" ht="14.25" customHeight="1" x14ac:dyDescent="0.35">
      <c r="A9" s="3" t="s">
        <v>23</v>
      </c>
      <c r="B9" s="3">
        <v>2022</v>
      </c>
      <c r="C9" s="3" t="s">
        <v>25</v>
      </c>
      <c r="D9" s="3" t="s">
        <v>20</v>
      </c>
      <c r="E9" s="3">
        <v>13</v>
      </c>
      <c r="F9" s="4">
        <v>1009</v>
      </c>
      <c r="G9" s="5">
        <v>3</v>
      </c>
      <c r="H9" s="6">
        <v>0.29862687501213836</v>
      </c>
      <c r="I9" s="6">
        <v>0.70137312498786164</v>
      </c>
    </row>
    <row r="10" spans="1:9" ht="14.25" customHeight="1" x14ac:dyDescent="0.35">
      <c r="A10" s="3" t="s">
        <v>26</v>
      </c>
      <c r="B10" s="3">
        <v>2023</v>
      </c>
      <c r="C10" s="3" t="s">
        <v>27</v>
      </c>
      <c r="D10" s="3" t="s">
        <v>11</v>
      </c>
      <c r="E10" s="3">
        <v>15</v>
      </c>
      <c r="F10" s="4">
        <v>7723</v>
      </c>
      <c r="G10" s="5">
        <v>14</v>
      </c>
      <c r="H10" s="6">
        <v>0.44871253653672771</v>
      </c>
      <c r="I10" s="6">
        <v>0.55128746346327229</v>
      </c>
    </row>
    <row r="11" spans="1:9" ht="14.25" customHeight="1" x14ac:dyDescent="0.35">
      <c r="A11" s="3" t="s">
        <v>26</v>
      </c>
      <c r="B11" s="3">
        <v>2023</v>
      </c>
      <c r="C11" s="3" t="s">
        <v>28</v>
      </c>
      <c r="D11" s="3" t="s">
        <v>14</v>
      </c>
      <c r="E11" s="3">
        <v>8</v>
      </c>
      <c r="F11" s="4">
        <v>3460</v>
      </c>
      <c r="G11" s="5">
        <v>15</v>
      </c>
      <c r="H11" s="6">
        <v>0.17855366956963581</v>
      </c>
      <c r="I11" s="6">
        <v>0.82144633043036419</v>
      </c>
    </row>
    <row r="12" spans="1:9" ht="14.25" customHeight="1" x14ac:dyDescent="0.35">
      <c r="A12" s="3" t="s">
        <v>26</v>
      </c>
      <c r="B12" s="3">
        <v>2023</v>
      </c>
      <c r="C12" s="3" t="s">
        <v>29</v>
      </c>
      <c r="D12" s="3" t="s">
        <v>17</v>
      </c>
      <c r="E12" s="3">
        <v>15</v>
      </c>
      <c r="F12" s="4">
        <v>4714</v>
      </c>
      <c r="G12" s="5">
        <v>7</v>
      </c>
      <c r="H12" s="6">
        <v>0.98520015489683865</v>
      </c>
      <c r="I12" s="6">
        <v>1.4799845103161346E-2</v>
      </c>
    </row>
    <row r="13" spans="1:9" ht="14.25" customHeight="1" x14ac:dyDescent="0.35">
      <c r="A13" s="3" t="s">
        <v>26</v>
      </c>
      <c r="B13" s="3">
        <v>2023</v>
      </c>
      <c r="C13" s="3" t="s">
        <v>30</v>
      </c>
      <c r="D13" s="3" t="s">
        <v>20</v>
      </c>
      <c r="E13" s="3">
        <v>13</v>
      </c>
      <c r="F13" s="4">
        <v>7687</v>
      </c>
      <c r="G13" s="5">
        <v>6</v>
      </c>
      <c r="H13" s="6">
        <v>0.77010764015236965</v>
      </c>
      <c r="I13" s="6">
        <v>0.22989235984763035</v>
      </c>
    </row>
    <row r="14" spans="1:9" ht="14.25" customHeight="1" x14ac:dyDescent="0.35">
      <c r="A14" s="3" t="s">
        <v>31</v>
      </c>
      <c r="B14" s="3">
        <v>2022</v>
      </c>
      <c r="C14" s="3" t="s">
        <v>32</v>
      </c>
      <c r="D14" s="3" t="s">
        <v>11</v>
      </c>
      <c r="E14" s="3">
        <v>8</v>
      </c>
      <c r="F14" s="4">
        <v>4520</v>
      </c>
      <c r="G14" s="5">
        <v>4</v>
      </c>
      <c r="H14" s="6">
        <v>0.31793347097861624</v>
      </c>
      <c r="I14" s="6">
        <v>0.68206652902138376</v>
      </c>
    </row>
    <row r="15" spans="1:9" ht="14.25" customHeight="1" x14ac:dyDescent="0.35">
      <c r="A15" s="3" t="s">
        <v>31</v>
      </c>
      <c r="B15" s="3">
        <v>2023</v>
      </c>
      <c r="C15" s="3" t="s">
        <v>33</v>
      </c>
      <c r="D15" s="3" t="s">
        <v>14</v>
      </c>
      <c r="E15" s="3">
        <v>9</v>
      </c>
      <c r="F15" s="4">
        <v>8910</v>
      </c>
      <c r="G15" s="5">
        <v>15</v>
      </c>
      <c r="H15" s="6">
        <v>0.34957557803316219</v>
      </c>
      <c r="I15" s="6">
        <v>0.65042442196683781</v>
      </c>
    </row>
    <row r="16" spans="1:9" ht="14.25" customHeight="1" x14ac:dyDescent="0.35">
      <c r="A16" s="3" t="s">
        <v>31</v>
      </c>
      <c r="B16" s="3">
        <v>2023</v>
      </c>
      <c r="C16" s="3" t="s">
        <v>34</v>
      </c>
      <c r="D16" s="3" t="s">
        <v>17</v>
      </c>
      <c r="E16" s="3">
        <v>12</v>
      </c>
      <c r="F16" s="4">
        <v>8649</v>
      </c>
      <c r="G16" s="5">
        <v>0</v>
      </c>
      <c r="H16" s="6">
        <v>0.27925542272758075</v>
      </c>
      <c r="I16" s="6">
        <v>0.72074457727241925</v>
      </c>
    </row>
    <row r="17" spans="1:9" ht="14.25" customHeight="1" x14ac:dyDescent="0.35">
      <c r="A17" s="3" t="s">
        <v>31</v>
      </c>
      <c r="B17" s="3">
        <v>2023</v>
      </c>
      <c r="C17" s="3" t="s">
        <v>35</v>
      </c>
      <c r="D17" s="3" t="s">
        <v>20</v>
      </c>
      <c r="E17" s="3">
        <v>15</v>
      </c>
      <c r="F17" s="4">
        <v>7272</v>
      </c>
      <c r="G17" s="5">
        <v>14</v>
      </c>
      <c r="H17" s="6">
        <v>0.3832071380905353</v>
      </c>
      <c r="I17" s="6">
        <v>0.6167928619094647</v>
      </c>
    </row>
    <row r="18" spans="1:9" ht="14.25" customHeight="1" x14ac:dyDescent="0.35">
      <c r="A18" s="3" t="s">
        <v>36</v>
      </c>
      <c r="B18" s="3">
        <v>2022</v>
      </c>
      <c r="C18" s="3" t="s">
        <v>37</v>
      </c>
      <c r="D18" s="3" t="s">
        <v>11</v>
      </c>
      <c r="E18" s="3">
        <v>9</v>
      </c>
      <c r="F18" s="4">
        <v>2717</v>
      </c>
      <c r="G18" s="5">
        <v>1</v>
      </c>
      <c r="H18" s="6">
        <v>0.99396944437784751</v>
      </c>
      <c r="I18" s="6">
        <v>6.0305556221524892E-3</v>
      </c>
    </row>
    <row r="19" spans="1:9" ht="14.25" customHeight="1" x14ac:dyDescent="0.35">
      <c r="A19" s="3" t="s">
        <v>36</v>
      </c>
      <c r="B19" s="3">
        <v>2022</v>
      </c>
      <c r="C19" s="3" t="s">
        <v>38</v>
      </c>
      <c r="D19" s="3" t="s">
        <v>14</v>
      </c>
      <c r="E19" s="3">
        <v>15</v>
      </c>
      <c r="F19" s="4">
        <v>4681</v>
      </c>
      <c r="G19" s="5">
        <v>8</v>
      </c>
      <c r="H19" s="6">
        <v>0.9428564178516774</v>
      </c>
      <c r="I19" s="6">
        <v>5.7143582148322603E-2</v>
      </c>
    </row>
    <row r="20" spans="1:9" ht="14.25" customHeight="1" x14ac:dyDescent="0.35">
      <c r="A20" s="3" t="s">
        <v>36</v>
      </c>
      <c r="B20" s="3">
        <v>2022</v>
      </c>
      <c r="C20" s="3" t="s">
        <v>39</v>
      </c>
      <c r="D20" s="3" t="s">
        <v>17</v>
      </c>
      <c r="E20" s="3">
        <v>12</v>
      </c>
      <c r="F20" s="4">
        <v>3805</v>
      </c>
      <c r="G20" s="5">
        <v>5</v>
      </c>
      <c r="H20" s="6">
        <v>0.98572656202663855</v>
      </c>
      <c r="I20" s="6">
        <v>1.4273437973361447E-2</v>
      </c>
    </row>
    <row r="21" spans="1:9" ht="14.25" customHeight="1" x14ac:dyDescent="0.35">
      <c r="A21" s="3" t="s">
        <v>40</v>
      </c>
      <c r="B21" s="3">
        <v>2022</v>
      </c>
      <c r="C21" s="3" t="s">
        <v>41</v>
      </c>
      <c r="D21" s="3" t="s">
        <v>20</v>
      </c>
      <c r="E21" s="3">
        <v>15</v>
      </c>
      <c r="F21" s="4">
        <v>1693</v>
      </c>
      <c r="G21" s="5">
        <v>1</v>
      </c>
      <c r="H21" s="6">
        <v>0.38209194885983655</v>
      </c>
      <c r="I21" s="6">
        <v>0.61790805114016345</v>
      </c>
    </row>
    <row r="22" spans="1:9" ht="14.25" customHeight="1" x14ac:dyDescent="0.35">
      <c r="A22" s="3" t="s">
        <v>42</v>
      </c>
      <c r="B22" s="3">
        <v>2022</v>
      </c>
      <c r="C22" s="3" t="s">
        <v>43</v>
      </c>
      <c r="D22" s="3" t="s">
        <v>11</v>
      </c>
      <c r="E22" s="3">
        <v>10</v>
      </c>
      <c r="F22" s="4">
        <v>5438</v>
      </c>
      <c r="G22" s="5">
        <v>7</v>
      </c>
      <c r="H22" s="6">
        <v>0.70934212242637462</v>
      </c>
      <c r="I22" s="6">
        <v>0.29065787757362538</v>
      </c>
    </row>
    <row r="23" spans="1:9" ht="14.25" customHeight="1" x14ac:dyDescent="0.35">
      <c r="A23" s="3" t="s">
        <v>42</v>
      </c>
      <c r="B23" s="3">
        <v>2022</v>
      </c>
      <c r="C23" s="3" t="s">
        <v>44</v>
      </c>
      <c r="D23" s="3" t="s">
        <v>14</v>
      </c>
      <c r="E23" s="3">
        <v>13</v>
      </c>
      <c r="F23" s="4">
        <v>6459</v>
      </c>
      <c r="G23" s="5">
        <v>9</v>
      </c>
      <c r="H23" s="6">
        <v>0.4915050387025599</v>
      </c>
      <c r="I23" s="6">
        <v>0.5084949612974401</v>
      </c>
    </row>
    <row r="24" spans="1:9" ht="14.25" customHeight="1" x14ac:dyDescent="0.35">
      <c r="A24" s="3" t="s">
        <v>42</v>
      </c>
      <c r="B24" s="3">
        <v>2022</v>
      </c>
      <c r="C24" s="3" t="s">
        <v>45</v>
      </c>
      <c r="D24" s="3" t="s">
        <v>17</v>
      </c>
      <c r="E24" s="3">
        <v>10</v>
      </c>
      <c r="F24" s="4">
        <v>5611</v>
      </c>
      <c r="G24" s="5">
        <v>12</v>
      </c>
      <c r="H24" s="6">
        <v>0.62542907676630399</v>
      </c>
      <c r="I24" s="6">
        <v>0.37457092323369601</v>
      </c>
    </row>
    <row r="25" spans="1:9" ht="14.25" customHeight="1" x14ac:dyDescent="0.35">
      <c r="A25" s="3" t="s">
        <v>46</v>
      </c>
      <c r="B25" s="3">
        <v>2022</v>
      </c>
      <c r="C25" s="3" t="s">
        <v>47</v>
      </c>
      <c r="D25" s="3" t="s">
        <v>20</v>
      </c>
      <c r="E25" s="3">
        <v>9</v>
      </c>
      <c r="F25" s="4">
        <v>9491</v>
      </c>
      <c r="G25" s="5">
        <v>4</v>
      </c>
      <c r="H25" s="6">
        <v>0.66097490226774958</v>
      </c>
      <c r="I25" s="6">
        <v>0.33902509773225042</v>
      </c>
    </row>
    <row r="26" spans="1:9" ht="14.25" customHeight="1" x14ac:dyDescent="0.35">
      <c r="A26" s="3" t="s">
        <v>46</v>
      </c>
      <c r="B26" s="3">
        <v>2023</v>
      </c>
      <c r="C26" s="3" t="s">
        <v>48</v>
      </c>
      <c r="D26" s="3" t="s">
        <v>11</v>
      </c>
      <c r="E26" s="3">
        <v>15</v>
      </c>
      <c r="F26" s="4">
        <v>9553</v>
      </c>
      <c r="G26" s="5">
        <v>12</v>
      </c>
      <c r="H26" s="6">
        <v>0.82813028529210675</v>
      </c>
      <c r="I26" s="6">
        <v>0.17186971470789325</v>
      </c>
    </row>
    <row r="27" spans="1:9" ht="14.25" customHeight="1" x14ac:dyDescent="0.35">
      <c r="A27" s="3" t="s">
        <v>49</v>
      </c>
      <c r="B27" s="3">
        <v>2022</v>
      </c>
      <c r="C27" s="3" t="s">
        <v>50</v>
      </c>
      <c r="D27" s="3" t="s">
        <v>14</v>
      </c>
      <c r="E27" s="3">
        <v>15</v>
      </c>
      <c r="F27" s="4">
        <v>5324</v>
      </c>
      <c r="G27" s="5">
        <v>7</v>
      </c>
      <c r="H27" s="6">
        <v>0.71850471541493011</v>
      </c>
      <c r="I27" s="6">
        <v>0.28149528458506989</v>
      </c>
    </row>
    <row r="28" spans="1:9" ht="14.25" customHeight="1" x14ac:dyDescent="0.35">
      <c r="A28" s="3" t="s">
        <v>51</v>
      </c>
      <c r="B28" s="3">
        <v>2022</v>
      </c>
      <c r="C28" s="3" t="s">
        <v>52</v>
      </c>
      <c r="D28" s="3" t="s">
        <v>17</v>
      </c>
      <c r="E28" s="3">
        <v>8</v>
      </c>
      <c r="F28" s="4">
        <v>2784</v>
      </c>
      <c r="G28" s="5">
        <v>7</v>
      </c>
      <c r="H28" s="6">
        <v>1.635921983259303E-2</v>
      </c>
      <c r="I28" s="6">
        <v>0.98364078016740697</v>
      </c>
    </row>
    <row r="29" spans="1:9" ht="14.25" customHeight="1" x14ac:dyDescent="0.35">
      <c r="A29" s="3" t="s">
        <v>53</v>
      </c>
      <c r="B29" s="3">
        <v>2022</v>
      </c>
      <c r="C29" s="3" t="s">
        <v>54</v>
      </c>
      <c r="D29" s="3" t="s">
        <v>20</v>
      </c>
      <c r="E29" s="3">
        <v>10</v>
      </c>
      <c r="F29" s="4">
        <v>2837</v>
      </c>
      <c r="G29" s="5">
        <v>10</v>
      </c>
      <c r="H29" s="6">
        <v>0.88142317758680422</v>
      </c>
      <c r="I29" s="6">
        <v>0.11857682241319578</v>
      </c>
    </row>
    <row r="30" spans="1:9" ht="14.25" customHeight="1" x14ac:dyDescent="0.35">
      <c r="A30" s="3" t="s">
        <v>55</v>
      </c>
      <c r="B30" s="3">
        <v>2022</v>
      </c>
      <c r="C30" s="3" t="s">
        <v>56</v>
      </c>
      <c r="D30" s="3" t="s">
        <v>11</v>
      </c>
      <c r="E30" s="3">
        <v>11</v>
      </c>
      <c r="F30" s="4">
        <v>8762</v>
      </c>
      <c r="G30" s="5">
        <v>3</v>
      </c>
      <c r="H30" s="6">
        <v>0.63115247266814389</v>
      </c>
      <c r="I30" s="6">
        <v>0.36884752733185611</v>
      </c>
    </row>
    <row r="31" spans="1:9" ht="14.25" customHeight="1" x14ac:dyDescent="0.35">
      <c r="A31" s="3" t="s">
        <v>57</v>
      </c>
      <c r="B31" s="3">
        <v>2022</v>
      </c>
      <c r="C31" s="3" t="s">
        <v>58</v>
      </c>
      <c r="D31" s="3" t="s">
        <v>14</v>
      </c>
      <c r="E31" s="3">
        <v>10</v>
      </c>
      <c r="F31" s="4">
        <v>6442</v>
      </c>
      <c r="G31" s="5">
        <v>9</v>
      </c>
      <c r="H31" s="6">
        <v>2.2248393063721839E-2</v>
      </c>
      <c r="I31" s="6">
        <v>0.97775160693627816</v>
      </c>
    </row>
    <row r="32" spans="1:9" ht="14.25" customHeight="1" x14ac:dyDescent="0.35">
      <c r="A32" s="3" t="s">
        <v>59</v>
      </c>
      <c r="B32" s="3">
        <v>2022</v>
      </c>
      <c r="C32" s="3" t="s">
        <v>60</v>
      </c>
      <c r="D32" s="3" t="s">
        <v>17</v>
      </c>
      <c r="E32" s="3">
        <v>14</v>
      </c>
      <c r="F32" s="4">
        <v>2876</v>
      </c>
      <c r="G32" s="5">
        <v>2</v>
      </c>
      <c r="H32" s="6">
        <v>0.99837239762561092</v>
      </c>
      <c r="I32" s="6">
        <v>1.6276023743890811E-3</v>
      </c>
    </row>
    <row r="33" spans="1:9" ht="14.25" customHeight="1" x14ac:dyDescent="0.35">
      <c r="A33" s="3" t="s">
        <v>61</v>
      </c>
      <c r="B33" s="3">
        <v>2022</v>
      </c>
      <c r="C33" s="3" t="s">
        <v>62</v>
      </c>
      <c r="D33" s="3" t="s">
        <v>20</v>
      </c>
      <c r="E33" s="3">
        <v>9</v>
      </c>
      <c r="F33" s="4">
        <v>4027</v>
      </c>
      <c r="G33" s="5">
        <v>1</v>
      </c>
      <c r="H33" s="6">
        <v>0.57282925637132831</v>
      </c>
      <c r="I33" s="6">
        <v>0.42717074362867169</v>
      </c>
    </row>
    <row r="34" spans="1:9" ht="14.25" customHeight="1" x14ac:dyDescent="0.35"/>
    <row r="35" spans="1:9" ht="14.25" customHeight="1" x14ac:dyDescent="0.35"/>
    <row r="36" spans="1:9" ht="14.25" customHeight="1" x14ac:dyDescent="0.35"/>
    <row r="37" spans="1:9" ht="14.25" customHeight="1" x14ac:dyDescent="0.35"/>
    <row r="38" spans="1:9" ht="14.25" customHeight="1" x14ac:dyDescent="0.35"/>
    <row r="39" spans="1:9" ht="14.25" customHeight="1" x14ac:dyDescent="0.35"/>
    <row r="40" spans="1:9" ht="14.25" customHeight="1" x14ac:dyDescent="0.35"/>
    <row r="41" spans="1:9" ht="14.25" customHeight="1" x14ac:dyDescent="0.35"/>
    <row r="42" spans="1:9" ht="14.25" customHeight="1" x14ac:dyDescent="0.35"/>
    <row r="43" spans="1:9" ht="14.25" customHeight="1" x14ac:dyDescent="0.35"/>
    <row r="44" spans="1:9" ht="14.25" customHeight="1" x14ac:dyDescent="0.35"/>
    <row r="45" spans="1:9" ht="14.25" customHeight="1" x14ac:dyDescent="0.35"/>
    <row r="46" spans="1:9" ht="14.25" customHeight="1" x14ac:dyDescent="0.35"/>
    <row r="47" spans="1:9" ht="14.25" customHeight="1" x14ac:dyDescent="0.35"/>
    <row r="48" spans="1:9"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conditionalFormatting sqref="G1:I33">
    <cfRule type="containsText" dxfId="0" priority="1" operator="containsText" text="MULTI LINGUAL">
      <formula>NOT(ISERROR(SEARCH(("MULTI LINGUAL"),(G1))))</formula>
    </cfRule>
  </conditionalFormatting>
  <pageMargins left="0.7" right="0.7" top="0.75" bottom="0.75" header="0" footer="0"/>
  <pageSetup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 Tables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HR Mariz Malagum</dc:creator>
  <cp:lastModifiedBy>Muhamad Fajar Latiful Habib</cp:lastModifiedBy>
  <dcterms:created xsi:type="dcterms:W3CDTF">2022-10-19T14:39:38Z</dcterms:created>
  <dcterms:modified xsi:type="dcterms:W3CDTF">2024-08-15T14:18:05Z</dcterms:modified>
</cp:coreProperties>
</file>